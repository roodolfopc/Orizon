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aumanegocios-my.sharepoint.com/personal/rodolfo_carneiro_nooabrasil_com_br/Documents/Documentos/Orizon/outputs/programa-orizon/"/>
    </mc:Choice>
  </mc:AlternateContent>
  <xr:revisionPtr revIDLastSave="36" documentId="11_76BBFA0F7189A6E84A1CD738BA5F1EBFC052598D" xr6:coauthVersionLast="47" xr6:coauthVersionMax="47" xr10:uidLastSave="{AE21976C-60B0-421B-A459-043589EA59EB}"/>
  <bookViews>
    <workbookView xWindow="28680" yWindow="750" windowWidth="29040" windowHeight="15720" firstSheet="4" activeTab="4" xr2:uid="{00000000-000D-0000-FFFF-FFFF00000000}"/>
  </bookViews>
  <sheets>
    <sheet name="Dashboard Executivo" sheetId="1" r:id="rId1"/>
    <sheet name="Raizen Piloto LEGACY" sheetId="2" r:id="rId2"/>
    <sheet name="Cotacao Raizen Cheia" sheetId="3" r:id="rId3"/>
    <sheet name="Atuacao Grupo Raizen" sheetId="4" r:id="rId4"/>
    <sheet name="Carteira 2026" sheetId="5" r:id="rId5"/>
    <sheet name="Especificacao Clientes" sheetId="6" r:id="rId6"/>
    <sheet name="Politica ORIZON" sheetId="7" r:id="rId7"/>
    <sheet name="Produtos e Pesos" sheetId="8" r:id="rId8"/>
    <sheet name="Pipeline Mensal" sheetId="9" r:id="rId9"/>
    <sheet name="Parceiros Operacionais" sheetId="10" r:id="rId10"/>
    <sheet name="Acoes por Modelo" sheetId="11" r:id="rId11"/>
    <sheet name="Modelo Pontuacao" sheetId="12" r:id="rId12"/>
  </sheet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5" i="8" l="1"/>
  <c r="G5" i="8"/>
  <c r="C16" i="9"/>
  <c r="C15" i="9"/>
  <c r="C14" i="9"/>
  <c r="C13" i="9"/>
  <c r="C12" i="9"/>
  <c r="C11" i="9"/>
  <c r="C10" i="9"/>
  <c r="C9" i="9"/>
  <c r="C8" i="9"/>
  <c r="C7" i="9"/>
  <c r="C6" i="9"/>
  <c r="C5" i="9"/>
  <c r="G13" i="8"/>
  <c r="H13" i="8" s="1"/>
  <c r="F13" i="8"/>
  <c r="G12" i="8"/>
  <c r="H12" i="8" s="1"/>
  <c r="F12" i="8"/>
  <c r="G11" i="8"/>
  <c r="H11" i="8" s="1"/>
  <c r="F11" i="8"/>
  <c r="G10" i="8"/>
  <c r="H10" i="8" s="1"/>
  <c r="F10" i="8"/>
  <c r="G9" i="8"/>
  <c r="H9" i="8" s="1"/>
  <c r="F9" i="8"/>
  <c r="G8" i="8"/>
  <c r="H8" i="8" s="1"/>
  <c r="F8" i="8"/>
  <c r="G7" i="8"/>
  <c r="H7" i="8" s="1"/>
  <c r="F7" i="8"/>
  <c r="G6" i="8"/>
  <c r="H6" i="8" s="1"/>
  <c r="F6" i="8"/>
  <c r="F5" i="8"/>
  <c r="E32" i="7"/>
  <c r="C32" i="7"/>
  <c r="D32" i="7" s="1"/>
  <c r="E31" i="7"/>
  <c r="C31" i="7"/>
  <c r="D31" i="7" s="1"/>
  <c r="E30" i="7"/>
  <c r="C30" i="7"/>
  <c r="D30" i="7" s="1"/>
  <c r="E29" i="7"/>
  <c r="C29" i="7"/>
  <c r="D29" i="7" s="1"/>
  <c r="E28" i="7"/>
  <c r="C28" i="7"/>
  <c r="D28" i="7" s="1"/>
  <c r="E27" i="7"/>
  <c r="C27" i="7"/>
  <c r="D27" i="7" s="1"/>
  <c r="E26" i="7"/>
  <c r="C26" i="7"/>
  <c r="D26" i="7" s="1"/>
  <c r="E25" i="7"/>
  <c r="C25" i="7"/>
  <c r="D25" i="7" s="1"/>
  <c r="E24" i="7"/>
  <c r="C24" i="7"/>
  <c r="D24" i="7" s="1"/>
  <c r="B7" i="7" s="1"/>
  <c r="E17" i="7"/>
  <c r="E16" i="7"/>
  <c r="E15" i="7"/>
  <c r="E14" i="7"/>
  <c r="B9" i="7"/>
  <c r="H48" i="5"/>
  <c r="H47" i="5"/>
  <c r="H46" i="5"/>
  <c r="H45" i="5"/>
  <c r="H44" i="5"/>
  <c r="H43" i="5"/>
  <c r="H42" i="5"/>
  <c r="H41" i="5"/>
  <c r="H40" i="5"/>
  <c r="H39" i="5"/>
  <c r="H38" i="5"/>
  <c r="H37" i="5"/>
  <c r="H36" i="5"/>
  <c r="H35" i="5"/>
  <c r="H34" i="5"/>
  <c r="H33" i="5"/>
  <c r="H32" i="5"/>
  <c r="H31" i="5"/>
  <c r="H30" i="5"/>
  <c r="H29" i="5"/>
  <c r="H28" i="5"/>
  <c r="H27" i="5"/>
  <c r="H26" i="5"/>
  <c r="H25" i="5"/>
  <c r="H24" i="5"/>
  <c r="H23" i="5"/>
  <c r="H22" i="5"/>
  <c r="H21" i="5"/>
  <c r="H20" i="5"/>
  <c r="H19" i="5"/>
  <c r="H18" i="5"/>
  <c r="H17" i="5"/>
  <c r="H16" i="5"/>
  <c r="H15" i="5"/>
  <c r="H14" i="5"/>
  <c r="H13" i="5"/>
  <c r="H12" i="5"/>
  <c r="H11" i="5"/>
  <c r="H10" i="5"/>
  <c r="H9" i="5"/>
  <c r="H8" i="5"/>
  <c r="H7" i="5"/>
  <c r="H6" i="5"/>
  <c r="H5" i="5"/>
  <c r="F14" i="7" l="1"/>
  <c r="F17" i="7"/>
  <c r="B10" i="7"/>
  <c r="F16" i="7"/>
  <c r="F15" i="7"/>
</calcChain>
</file>

<file path=xl/sharedStrings.xml><?xml version="1.0" encoding="utf-8"?>
<sst xmlns="http://schemas.openxmlformats.org/spreadsheetml/2006/main" count="1524" uniqueCount="676">
  <si>
    <t>ORIZON | Dashboard Executivo</t>
  </si>
  <si>
    <t>Carteira 2026 inicializada do zero: score ORIZON reformulado para priorizacao operacional</t>
  </si>
  <si>
    <t>Indicador</t>
  </si>
  <si>
    <t>Valor</t>
  </si>
  <si>
    <t>Nivel reformulado</t>
  </si>
  <si>
    <t>Clientes</t>
  </si>
  <si>
    <t>Score medio</t>
  </si>
  <si>
    <t>Credito recomendado</t>
  </si>
  <si>
    <t>Fila inicial</t>
  </si>
  <si>
    <t>Credito</t>
  </si>
  <si>
    <t>Clientes mapeados</t>
  </si>
  <si>
    <t>FOUNDATION</t>
  </si>
  <si>
    <t>Fila 1 - plano executivo imediato</t>
  </si>
  <si>
    <t>Area total ha</t>
  </si>
  <si>
    <t>FLOW</t>
  </si>
  <si>
    <t>Fila 2 - conversao assistida 30 dias</t>
  </si>
  <si>
    <t>Score medio reformulado</t>
  </si>
  <si>
    <t>PRIME</t>
  </si>
  <si>
    <t>Fila 3 - prova de valor 60 dias</t>
  </si>
  <si>
    <t>LEGACY</t>
  </si>
  <si>
    <t>Fila 4 - qualificacao sem investimento</t>
  </si>
  <si>
    <t>Clientes PRIME+</t>
  </si>
  <si>
    <t>Total</t>
  </si>
  <si>
    <t>Total filas</t>
  </si>
  <si>
    <t>Fila 1 imediata</t>
  </si>
  <si>
    <t>Raizen Piloto LEGACY</t>
  </si>
  <si>
    <t>Cotacao cheia 30d</t>
  </si>
  <si>
    <t>Cotacao cheia 90d</t>
  </si>
  <si>
    <t>Volume cheio</t>
  </si>
  <si>
    <t>Credito ponderado ref.</t>
  </si>
  <si>
    <t>TCH Ano 1</t>
  </si>
  <si>
    <t>Mais Maquinas Ano 2</t>
  </si>
  <si>
    <t>ORIZON | Raizen Piloto LEGACY</t>
  </si>
  <si>
    <t>Cliente ancora do projeto: piloto enterprise com governanca, validacao tecnica e evolucao plurianual</t>
  </si>
  <si>
    <t>Bloco</t>
  </si>
  <si>
    <t>Decisao</t>
  </si>
  <si>
    <t>Racional</t>
  </si>
  <si>
    <t>Como apresentar</t>
  </si>
  <si>
    <t>Gatilho</t>
  </si>
  <si>
    <t>Posicionamento</t>
  </si>
  <si>
    <t>Raizen como LEGACY PILOTO</t>
  </si>
  <si>
    <t>Porte, vitrine setorial e potencial de contrato de longo prazo</t>
  </si>
  <si>
    <t>Nao e campanha; e plataforma de evolucao operacional</t>
  </si>
  <si>
    <t>Aprovacao diretoria NOOA</t>
  </si>
  <si>
    <t>Patrocinio interno</t>
  </si>
  <si>
    <t>Cotacao</t>
  </si>
  <si>
    <t>Manter volume cheio</t>
  </si>
  <si>
    <t>Preco cheio ja enviado e deve preservar ambicao comercial</t>
  </si>
  <si>
    <t>Apresentar como potencial de escala, nao como obrigacao de entrada</t>
  </si>
  <si>
    <t>Alinhamento suprimentos/agricola</t>
  </si>
  <si>
    <t>Valor 30d/90d</t>
  </si>
  <si>
    <t>Entrada 2026</t>
  </si>
  <si>
    <t>Piloto executivo</t>
  </si>
  <si>
    <t>AURAS positivo e AUBA aguardando resultado exigem etapa de validacao</t>
  </si>
  <si>
    <t>Areas semi-comerciais + governanca ORIZON</t>
  </si>
  <si>
    <t>Definir unidades-piloto</t>
  </si>
  <si>
    <t>Hectares validados</t>
  </si>
  <si>
    <t>Ano 1</t>
  </si>
  <si>
    <t>TCH como braco tecnico</t>
  </si>
  <si>
    <t>Diagnostico e treinamento sustentam credibilidade e padronizacao</t>
  </si>
  <si>
    <t>Diagnosticar, corrigir, mensurar</t>
  </si>
  <si>
    <t>Agenda tecnica mensal</t>
  </si>
  <si>
    <t>Laudos e treinamentos</t>
  </si>
  <si>
    <t>Ano 2</t>
  </si>
  <si>
    <t>Mais Maquinas como evolucao estrutural</t>
  </si>
  <si>
    <t>Depois da validacao, ativar mecanizacao e sistemas de aplicacao</t>
  </si>
  <si>
    <t>Coparticipacao ORIZON com teto e contrato</t>
  </si>
  <si>
    <t>Renovacao/expansao</t>
  </si>
  <si>
    <t>Projetos implantados</t>
  </si>
  <si>
    <t>Governanca</t>
  </si>
  <si>
    <t>Comite ORIZON Raizen</t>
  </si>
  <si>
    <t>Conta enterprise exige rotina executiva</t>
  </si>
  <si>
    <t>NOOA + Raizen + TCH + Mais Maquinas</t>
  </si>
  <si>
    <t>Reuniao mensal</t>
  </si>
  <si>
    <t>Plano de acao</t>
  </si>
  <si>
    <t>Politica</t>
  </si>
  <si>
    <t>Credito operacional por fase</t>
  </si>
  <si>
    <t>Evita rebate e protege margem</t>
  </si>
  <si>
    <t>Credito bruto vira budget elegivel, liberado por marcos</t>
  </si>
  <si>
    <t>Metas tecnicas cumpridas</t>
  </si>
  <si>
    <t>ROI operacional</t>
  </si>
  <si>
    <t>Saida esperada</t>
  </si>
  <si>
    <t>Case enterprise</t>
  </si>
  <si>
    <t>Primeiro cliente ancora do ORIZON</t>
  </si>
  <si>
    <t>Relatorio executivo de evolucao</t>
  </si>
  <si>
    <t>Resultados validados</t>
  </si>
  <si>
    <t>Contrato plurianual</t>
  </si>
  <si>
    <t>Orcamento tecnico do piloto</t>
  </si>
  <si>
    <t>Quantidade</t>
  </si>
  <si>
    <t>Valor unitario</t>
  </si>
  <si>
    <t>Valor total</t>
  </si>
  <si>
    <t>Ano</t>
  </si>
  <si>
    <t>Observacao</t>
  </si>
  <si>
    <t>Diagnostico TCH</t>
  </si>
  <si>
    <t>2026</t>
  </si>
  <si>
    <t>Diagnosticos por unidade/operacao critica</t>
  </si>
  <si>
    <t>Treinamento TCH</t>
  </si>
  <si>
    <t>Treinamento de equipes e padronizacao</t>
  </si>
  <si>
    <t>Subtotal TCH Ano 1</t>
  </si>
  <si>
    <t>Base minima para piloto LEGACY</t>
  </si>
  <si>
    <t>Carteira Mais Maquinas</t>
  </si>
  <si>
    <t>2027</t>
  </si>
  <si>
    <t>Projetos estruturais pos-validacao</t>
  </si>
  <si>
    <t>Participacao ORIZON Mais Maquinas</t>
  </si>
  <si>
    <t>Liberacao condicionada a contrato e metas</t>
  </si>
  <si>
    <t>Credito ponderado ref. volume cheio</t>
  </si>
  <si>
    <t>Referencia</t>
  </si>
  <si>
    <t>Nao liberar integralmente</t>
  </si>
  <si>
    <t>Saldo estrategico reservado</t>
  </si>
  <si>
    <t>2027+</t>
  </si>
  <si>
    <t>Usar apenas com expansao validada</t>
  </si>
  <si>
    <t>ORIZON | Cotacao Raizen Cheia</t>
  </si>
  <si>
    <t>Volume cheio enviado como referencia comercial; usar como visao de escala, nao como entrada transacional</t>
  </si>
  <si>
    <t>Produto</t>
  </si>
  <si>
    <t>Area ha</t>
  </si>
  <si>
    <t>Dose</t>
  </si>
  <si>
    <t>Preco 30d</t>
  </si>
  <si>
    <t>Total 30d</t>
  </si>
  <si>
    <t>Preco 90d</t>
  </si>
  <si>
    <t>Total 90d</t>
  </si>
  <si>
    <t>Credito ponderado</t>
  </si>
  <si>
    <t>Papel ORIZON</t>
  </si>
  <si>
    <t>AUFIX</t>
  </si>
  <si>
    <t>Estrutural B2B</t>
  </si>
  <si>
    <t>AURAS</t>
  </si>
  <si>
    <t>Core estrategico</t>
  </si>
  <si>
    <t>TRITTER</t>
  </si>
  <si>
    <t>ARTEFATO</t>
  </si>
  <si>
    <t>AUBA</t>
  </si>
  <si>
    <t>BOVETTUS</t>
  </si>
  <si>
    <t>Entrada/composicao</t>
  </si>
  <si>
    <t>METTUS</t>
  </si>
  <si>
    <t>TOTAL</t>
  </si>
  <si>
    <t>Referencia de escala</t>
  </si>
  <si>
    <t>Leitura estrategica</t>
  </si>
  <si>
    <t>Diretriz</t>
  </si>
  <si>
    <t>Manter como potencial de escala do piloto</t>
  </si>
  <si>
    <t>Usar como alternativa comercial, nao como tese ORIZON</t>
  </si>
  <si>
    <t>Base para calcular credito operacional de referencia</t>
  </si>
  <si>
    <t>Credito ORIZON ponderado ref.</t>
  </si>
  <si>
    <t>Nao liberar integralmente; usar por fases e governanca</t>
  </si>
  <si>
    <t>Entrada recomendada</t>
  </si>
  <si>
    <t>Piloto LEGACY</t>
  </si>
  <si>
    <t>Contrato por etapa com gatilhos de expansao</t>
  </si>
  <si>
    <t>ORIZON | Modelo de Atuacao no Grupo Raizen</t>
  </si>
  <si>
    <t>Como entrar, governar, validar e expandir dentro de um grande grupo sucroenergetico</t>
  </si>
  <si>
    <t>Frente</t>
  </si>
  <si>
    <t>Interlocutor</t>
  </si>
  <si>
    <t>Objetivo</t>
  </si>
  <si>
    <t>Mensagem-chave</t>
  </si>
  <si>
    <t>Entrega ORIZON</t>
  </si>
  <si>
    <t>Cadencia</t>
  </si>
  <si>
    <t>Diretoria</t>
  </si>
  <si>
    <t>Executivo agricola/suprimentos</t>
  </si>
  <si>
    <t>Patrocinio do piloto</t>
  </si>
  <si>
    <t>Raizen como cliente ancora do primeiro ORIZON LEGACY</t>
  </si>
  <si>
    <t>Business case e governanca</t>
  </si>
  <si>
    <t>Kickoff + QBR</t>
  </si>
  <si>
    <t>Agricola corporativo</t>
  </si>
  <si>
    <t>Gerencia tecnica</t>
  </si>
  <si>
    <t>Definir janelas e unidades-piloto</t>
  </si>
  <si>
    <t>Biotecnologia precisa virar padrao operacional mensuravel</t>
  </si>
  <si>
    <t>Plano tecnico por janela</t>
  </si>
  <si>
    <t>Mensal</t>
  </si>
  <si>
    <t>Unidades-piloto</t>
  </si>
  <si>
    <t>Gerentes agricolas locais</t>
  </si>
  <si>
    <t>Executar e medir</t>
  </si>
  <si>
    <t>Menos perda invisivel, mais padronizacao e eficiencia</t>
  </si>
  <si>
    <t>Diagnosticos TCH e protocolos</t>
  </si>
  <si>
    <t>Quinzenal</t>
  </si>
  <si>
    <t>Operacao</t>
  </si>
  <si>
    <t>Aplicacao/mecanizacao</t>
  </si>
  <si>
    <t>Corrigir gargalos</t>
  </si>
  <si>
    <t>O ganho biologico depende de qualidade operacional</t>
  </si>
  <si>
    <t>Treinamentos e checklists</t>
  </si>
  <si>
    <t>Suprimentos</t>
  </si>
  <si>
    <t>Compras</t>
  </si>
  <si>
    <t>Evitar leitura de rebate</t>
  </si>
  <si>
    <t>ORIZON nao e desconto; e budget tecnico-operacional elegivel</t>
  </si>
  <si>
    <t>Regras de liberacao por marco</t>
  </si>
  <si>
    <t>Por etapa</t>
  </si>
  <si>
    <t>TCH</t>
  </si>
  <si>
    <t>Parceiro tecnico</t>
  </si>
  <si>
    <t>Dar independencia tecnica</t>
  </si>
  <si>
    <t>Quem mede, entende; quem entende, melhora</t>
  </si>
  <si>
    <t>Laudos, auditorias e treinamentos</t>
  </si>
  <si>
    <t>Mais Maquinas</t>
  </si>
  <si>
    <t>Parceiro estrutural</t>
  </si>
  <si>
    <t>Preparar ano 2</t>
  </si>
  <si>
    <t>A evolucao operacional vira infraestrutura</t>
  </si>
  <si>
    <t>Projetos de aplicacao/mecanizacao</t>
  </si>
  <si>
    <t>Semestral</t>
  </si>
  <si>
    <t>Comercial NOOA</t>
  </si>
  <si>
    <t>Rodolfo</t>
  </si>
  <si>
    <t>Orquestrar conta</t>
  </si>
  <si>
    <t>Plano de conta enterprise, nao cotacao isolada</t>
  </si>
  <si>
    <t>CRM, follow-up e proposta</t>
  </si>
  <si>
    <t>Semanal</t>
  </si>
  <si>
    <t>Diretoria NOOA</t>
  </si>
  <si>
    <t>Sponsor interno</t>
  </si>
  <si>
    <t>Aprovar padrao LEGACY</t>
  </si>
  <si>
    <t>Raizen define o modelo replicavel do projeto</t>
  </si>
  <si>
    <t>Decisoes e limites de investimento</t>
  </si>
  <si>
    <t>ORIZON | Carteira 2026</t>
  </si>
  <si>
    <t>Clientes reais do plano 2026 com potencial, modelo de negocio e regra ORIZON aplicada</t>
  </si>
  <si>
    <t>Cliente</t>
  </si>
  <si>
    <t>Cana planta</t>
  </si>
  <si>
    <t>Cana soca</t>
  </si>
  <si>
    <t>Prioridade</t>
  </si>
  <si>
    <t>Situacao atual</t>
  </si>
  <si>
    <t>Acao proposta</t>
  </si>
  <si>
    <t>Status governanca</t>
  </si>
  <si>
    <t>Responsavel</t>
  </si>
  <si>
    <t>Receita potencial</t>
  </si>
  <si>
    <t>Volume total</t>
  </si>
  <si>
    <t>Auras</t>
  </si>
  <si>
    <t>Auba</t>
  </si>
  <si>
    <t>Nerut</t>
  </si>
  <si>
    <t>Tritter</t>
  </si>
  <si>
    <t>Artefato</t>
  </si>
  <si>
    <t>Bovettus</t>
  </si>
  <si>
    <t>Mettus</t>
  </si>
  <si>
    <t>Bettus</t>
  </si>
  <si>
    <t>Aufix</t>
  </si>
  <si>
    <t>Mix estrategico</t>
  </si>
  <si>
    <t>Score ORIZON reformulado</t>
  </si>
  <si>
    <t>Nivel ORIZON reformulado</t>
  </si>
  <si>
    <t>Modelo negocio</t>
  </si>
  <si>
    <t>Fator maturidade reformulado</t>
  </si>
  <si>
    <t>Teto politica</t>
  </si>
  <si>
    <t>Credito ORIZON recomendado</t>
  </si>
  <si>
    <t>ALCOESTE</t>
  </si>
  <si>
    <t>Baixa</t>
  </si>
  <si>
    <t>trabalho concluído sem conversão comercial. Cliente recluso não quis nos receber. Em dificuldades financeiras</t>
  </si>
  <si>
    <t>Reaproximação gerência, entendimento situação financeira do cliente (proposta de prazo a ser elaborada). Trabalhos em soqueira com Nematicidas</t>
  </si>
  <si>
    <t>MARCIA</t>
  </si>
  <si>
    <t>Protocolo e prova de valor</t>
  </si>
  <si>
    <t>BP BIOENERGY</t>
  </si>
  <si>
    <t>Média</t>
  </si>
  <si>
    <t>protocolo Agrocomciência (Auras) CAV finalizado (aguardando relatório), protocolo Bettus concluído porém não caminhou comercialmente por questões técnicas da operação do BT no grupo (mas protocolo foi positivo). SEM PRODUTO VALIDADO PARA COTAÇÃO 25/26</t>
  </si>
  <si>
    <t>Aproximação comercial com suprimentos para participação de cotações Bovettus, Mettus e Aufix</t>
  </si>
  <si>
    <t>Prospeccao controlada</t>
  </si>
  <si>
    <t>GRUPO ARALCO</t>
  </si>
  <si>
    <t>Alta</t>
  </si>
  <si>
    <t>área comercial Auras (plantio). Trabalho com Artefato e boas perspectivas comerciais. Precisamos suplementar com consultorias de apoio para fidelização do cliente</t>
  </si>
  <si>
    <t>Aproximação, explorando os resultados positivos com Auras e solicitando novas oportunidades comerciais com o Auba e Artefato, baseado em suporte e consultorias externas de apoio</t>
  </si>
  <si>
    <t>Expansao estrategica</t>
  </si>
  <si>
    <t>GRUPO CLEALCO</t>
  </si>
  <si>
    <t>campo Auras em soqueira finalizado com resultado pouco expressivo</t>
  </si>
  <si>
    <t>Estreitar relacionamento técnico e comercial, propor avanço do trabalho semi-comercial com Auras e Nerut. Avanço depende de conexão com a consultoria Planiagro que tem definido os manejos adotados</t>
  </si>
  <si>
    <t>Grupo CMAA</t>
  </si>
  <si>
    <t>Áreas semi comerciais - Cliente adquiriu 500 ha para teste AURAS - 200 ha de AUBA
Trabalhar com resultados obtidos a partir de compras passadas</t>
  </si>
  <si>
    <t>Monitoramento através de Software parceiro GeoData em busca de protocolos personalizados para eficácia de bionematicida e complexo de murcha</t>
  </si>
  <si>
    <t>RODOLFO</t>
  </si>
  <si>
    <t>GRUPO CMNP</t>
  </si>
  <si>
    <t>área semi-comercial de Auras em plantio com resultado pouco expressivo</t>
  </si>
  <si>
    <t>Reaproximação do cliente para tentar participar das cotações de produtos da linha básica como fungos</t>
  </si>
  <si>
    <t>GRUPO COCAL</t>
  </si>
  <si>
    <t>cliente com aquisição comercial Mettus. Protocolo externo de Auba (breve finalização)</t>
  </si>
  <si>
    <t>Pendente resultados Protocolo Auba (Fatec) e tentar validar proposta semi-comercial do Auras + Nerut. Continuidade com o Mettus</t>
  </si>
  <si>
    <t>Conversao assistida</t>
  </si>
  <si>
    <t>GRUPO COFCO</t>
  </si>
  <si>
    <t>Protocolo com Tritter finalizado sem resultado positivo. Protocolo Auba concluído, produto não validado por questões técnicas da Usina. Protocolo Auras em andamento. Protocolo Bovettus em andamento.</t>
  </si>
  <si>
    <t>Tentar reverter exclusão do Auba da homologação recém-finalizada. Proposta comercial agressiva com Bovettus e Mettus (reais possibilidades de negócio aturais). Acompanhar de perto campo de Auras com Agrocomciência</t>
  </si>
  <si>
    <t>GRUPO COLOMBO</t>
  </si>
  <si>
    <t>campos Auras colhidos com resultados não satisfatórios</t>
  </si>
  <si>
    <t>Estreitar relacionamento técnico e comercial com o cliente e mapear novas possibilidades em 2026. Refazer campos AGD. Copmpras recorrentes durante o ano.</t>
  </si>
  <si>
    <t>GRUPO CORURIPE</t>
  </si>
  <si>
    <t>Campo GD instalado. Área de planejamento pra receber irrigação. 20 ha de padrão NOOA para plantio com possibildiade de vitrine tecnologica</t>
  </si>
  <si>
    <t>Acompanhamento da área instalada com pacote Auras e Auba em corte de soqueira e estreitamento do relacionamento. Propor: Treinamento de pragas e doenças com Alexandre Sene e Alvaro Sanguino</t>
  </si>
  <si>
    <t>GRUPO ITAJOBI</t>
  </si>
  <si>
    <t>campos desenvolvimento Auras e Auba finalizados</t>
  </si>
  <si>
    <t>Entender melhor como ficará a configuração de time do grupo e resgatar os trabalhos realizados a fim de dar continuidade em âmbito comercial</t>
  </si>
  <si>
    <t>Entrada por linha basica</t>
  </si>
  <si>
    <t>GRUPO PEDRA</t>
  </si>
  <si>
    <t>áreas comerciais de Bovettus e Auras. Campo Artefato</t>
  </si>
  <si>
    <t>Ampliar relacionamento nas diversas esferas (técnica e suprimentos) visando participar das cotações. Reaproximar Ipê e fortalecer relacionamento com a Cedro. Proposta de pacote integrado para participar minimamente comercialmente</t>
  </si>
  <si>
    <t>GRUPO SANTA TEREZINHA</t>
  </si>
  <si>
    <t>Acompanhamento e fechamento de áreas com Auras em plantio e soqueira. Buscar novas oportunidades junto ao grupo</t>
  </si>
  <si>
    <t>Áreas semi-comerciais dos ensaios conduzidos com o Auras e trazer a eficiência nematoides do ensaio com o Auba, através do Alexandre Sene</t>
  </si>
  <si>
    <t>GRUPO TEREOS</t>
  </si>
  <si>
    <t>campo interno com Auras concluído, mas sem resultado compartilhado. Protocolo Auba em andamento.</t>
  </si>
  <si>
    <t>Fazer proposta de uso de Auras em todas as unidades em áreas semi-comerciais (com acompanhamento de consultor externo)</t>
  </si>
  <si>
    <t>GRUPO VITERRA</t>
  </si>
  <si>
    <t>Auras em áreas semi-comerciais. Bom alinhamento para aquisição de Auba. Campo a ser instalado Artefato</t>
  </si>
  <si>
    <t>Apresentar proposta comercial agressiva para fundo de Sulco com Auras e Nerut. Campo com Artefato. Conexão com a Fatec (trabalho Auba)</t>
  </si>
  <si>
    <t>USINA ALTA MOGIANA</t>
  </si>
  <si>
    <t>área semi-comercial de Auras em plantio e soqueira. Campo Artefato</t>
  </si>
  <si>
    <t>Área soqueira colhida com resultados positivos. Movimento de abrir oportunidades com Nerut junto ao Auras e Artefato.</t>
  </si>
  <si>
    <t>USINA BATATAIS</t>
  </si>
  <si>
    <t>Mudanças na gerência. Novo relacionamento</t>
  </si>
  <si>
    <t>Entender como está o andamento dos protocolos instalados, na gestão do Edson</t>
  </si>
  <si>
    <t>USINA BEVAP</t>
  </si>
  <si>
    <t>em prospecção inicial</t>
  </si>
  <si>
    <t>Entender as possibilidades de manejo</t>
  </si>
  <si>
    <t>USINA BRANCO PERES</t>
  </si>
  <si>
    <t>área semi-comercial Auras e Auba (plantio)</t>
  </si>
  <si>
    <t>Resultados muito bons nos acompanhamentos de cana planta e soca, portifólio validado e proposta de valor entendida e valorizada pelo gerente agrícola. Próximo passo seria elaborar uma boa proposta comercial, de preferência envolvendo  o apoio de Consultores externos (Nematicida). Proposta para soja Auba + Artefato</t>
  </si>
  <si>
    <t>USINA CAFEALCOOL</t>
  </si>
  <si>
    <t>área semi-comercial Auras e campo de Auba</t>
  </si>
  <si>
    <t>Reestabelecer vínculo, cliente fidelizado Canavitta. Restringiu o acesso após rompimento com o Agente</t>
  </si>
  <si>
    <t>USINA CALIFÓRNIA</t>
  </si>
  <si>
    <t>cliente ativo com área comercial de protocolo completo em soqueira</t>
  </si>
  <si>
    <t>Precisamos aproximar mais da gerência, que é muito ligada com multinacionais de químico, o que dificulta o acesso. Maior oportunidade em soqueira. Cliente tem oportunidades de compras no segundo semestre</t>
  </si>
  <si>
    <t>USINA CERRADÃO</t>
  </si>
  <si>
    <t>Protocolo instalado, com manejo NOOA - Auras/Auba/Artefato. Acompanhamento de resultados</t>
  </si>
  <si>
    <t>Cliente multiplica Auras, buscar entender oportunidade para venda com valores mais agressivos</t>
  </si>
  <si>
    <t>USINA DA MATA</t>
  </si>
  <si>
    <t>campos Auras interno em andamento. Campo Auba com Consultoria</t>
  </si>
  <si>
    <t>Dependente dos resultados dos protocolos externos instalados.</t>
  </si>
  <si>
    <t>USINA DELTA</t>
  </si>
  <si>
    <t>Aguardando resultados de áreas com Auras e entender resultados finais de Bovettus e Mettus</t>
  </si>
  <si>
    <t>Acompanhar resultados finais da colheita dos campos. Levar equipe técnica a visita na NOOA</t>
  </si>
  <si>
    <t>USINA ESTIVA</t>
  </si>
  <si>
    <t>campo de Auras em plantio. Campo Bovettus</t>
  </si>
  <si>
    <t>Estreitar relacionamento com cliente e entender melhor as oportunidades com o planejamento. Propor trabalho em vinhaça localizada (já bem avançado lá)</t>
  </si>
  <si>
    <t>USINA LINS</t>
  </si>
  <si>
    <t>campo Auras e Tritter finalizado, aguardando divulgação resultados pela usina. Protocolo Auba em andamento.</t>
  </si>
  <si>
    <t>Finalização dos trabalhos para melhor evolução comercial. Mapear oportunidade de fungos entomopatogênicos e possibilidade de área semi-comercial Auras</t>
  </si>
  <si>
    <t>USINA PIRASSUNUNGA 51</t>
  </si>
  <si>
    <t>Nova gerência. Estreitar relacionamento e instalação de campos novos</t>
  </si>
  <si>
    <t>Propor instalação de campos novos, com foco em Auras e Auba.</t>
  </si>
  <si>
    <t>USINA PITANGUEIRAS</t>
  </si>
  <si>
    <t>Campo instalado em plantio 25. Aguardando colheita para novos tratamentos.</t>
  </si>
  <si>
    <t>Acompanhamento da área de campo com Auras instalado.</t>
  </si>
  <si>
    <t>USINA SANTA ADELIA</t>
  </si>
  <si>
    <t>Novas oportunidades. Protocolo de Sphenophorus para desenvolvimento. Cotações de Auras, Auba, Bovettus e Mettus</t>
  </si>
  <si>
    <t>Entender resultados finais da última venda. Auba e Auras. Estreitar relacionamento com agrícola.</t>
  </si>
  <si>
    <t>USINA SÃO DOMINGOS</t>
  </si>
  <si>
    <t>Retomar alinhamento.</t>
  </si>
  <si>
    <t>Instalação de novos protocolos de plantio em 26.</t>
  </si>
  <si>
    <t>USINA SÃO FRANCISCO</t>
  </si>
  <si>
    <t>Cliente de cana orgânica mas com alta restrição a produtos. Necessidade de certificações.</t>
  </si>
  <si>
    <t>Resultados com Auras negativos. Entender novas oportunidades com o agrícola.</t>
  </si>
  <si>
    <t>USINA SÃO MANOEL</t>
  </si>
  <si>
    <t>Cliente com pouco uso de biológicos. Possibilidade de Auras e Auba somente.</t>
  </si>
  <si>
    <t>Aproximação para novas oportunidades na safra 26.</t>
  </si>
  <si>
    <t>USINA SÃO LUIZ</t>
  </si>
  <si>
    <t>Em prospecção inicial.</t>
  </si>
  <si>
    <t>Estreitar relação. Buscar novas oportunidades para instalação de protocolos.</t>
  </si>
  <si>
    <t>USINA SÃO LUIS/FERRARI</t>
  </si>
  <si>
    <t>Em prospecção inicial. Cliente com instalação de biofábrica.</t>
  </si>
  <si>
    <t>Entender quais microorganismos estão sendo multiplicados e buscar fazer contra propostas com protocolos.</t>
  </si>
  <si>
    <t>GRUPO VALE DO VERDÃO</t>
  </si>
  <si>
    <t>Retomar conversa, Alinhamento prévio com antigo CDM GOIAS</t>
  </si>
  <si>
    <t>Realinhar contato feito pelo antigo CDM GO</t>
  </si>
  <si>
    <t>GRUPO RAÍZEN</t>
  </si>
  <si>
    <t>Resultados com AURAS positivo. Aguardando resultados com AUBA. Possilidade de repique de fungos.</t>
  </si>
  <si>
    <t>Estruturar piloto ORIZON LEGACY como cliente ancora: validacao tecnica 2026, contrato por janela operacional e evolucao plurianual com TCH no ano 1 e Mais Maquinas no ano 2.</t>
  </si>
  <si>
    <t>Piloto LEGACY Raizen</t>
  </si>
  <si>
    <t>USINA VIRALCOOL</t>
  </si>
  <si>
    <t>Estreitar relacionamento para entrada com novos protocolos na safra 26.</t>
  </si>
  <si>
    <t>USINA SANTA ISABEL</t>
  </si>
  <si>
    <t>Cliente com baixa utilização de biológico, buscar nova oportunidade para instalação de protocolos com Auras.</t>
  </si>
  <si>
    <t>USINA SONORA</t>
  </si>
  <si>
    <t>Em prospecção inicial. Aguardando para instalação de protocolo com pacote NOOA</t>
  </si>
  <si>
    <t>Acompanhamento dos campos previstos para instalação ainda em 25.</t>
  </si>
  <si>
    <t>USINA USIBAN</t>
  </si>
  <si>
    <t>Em prospecção inicial. Protocolo de Auras instalado em 25.</t>
  </si>
  <si>
    <t>Acompanhamento do campo em corte de soqueira e buscar novas oportunidades para plantio em 26.</t>
  </si>
  <si>
    <t>USINA CERRADINHO BIO</t>
  </si>
  <si>
    <t>USINA ALCON</t>
  </si>
  <si>
    <t>Cliente utilizou pacote NOOA. Auras, Auba e Tritter. Buscar novas oportunidades para com biofungicida</t>
  </si>
  <si>
    <t>Fazer visita as áreas semi-comerciais e entender melhor o manejo do cliente.</t>
  </si>
  <si>
    <t>USINA IPIRANGA</t>
  </si>
  <si>
    <t>Áreas de AGD instaladas. Aguardando novas oportunidades para instalar novos ensaios.</t>
  </si>
  <si>
    <t>USINA UBERABA</t>
  </si>
  <si>
    <t>Áreas semi - comerciais - 200 ha de Auras</t>
  </si>
  <si>
    <t>Acompanhar áreas semi comerciais e intensificar interação</t>
  </si>
  <si>
    <t>ACESSÍVEL</t>
  </si>
  <si>
    <t>ORIZON | Especificacao por Cliente</t>
  </si>
  <si>
    <t>Leitura operacional por usina/grupo: potencial dinamico, adocao tecnologica e trilha de parceria duradoura</t>
  </si>
  <si>
    <t>Potencial ORIZON reformulado</t>
  </si>
  <si>
    <t>Estagio de adocao</t>
  </si>
  <si>
    <t>Modelo de negocio</t>
  </si>
  <si>
    <t>Tecnologia de entrada</t>
  </si>
  <si>
    <t>Diretriz de adocao</t>
  </si>
  <si>
    <t>Parceiro indicado</t>
  </si>
  <si>
    <t>Trilha de evolucao</t>
  </si>
  <si>
    <t>Especificacao executiva</t>
  </si>
  <si>
    <t>Score porte</t>
  </si>
  <si>
    <t>Score prioridade</t>
  </si>
  <si>
    <t>Score adocao tecnica</t>
  </si>
  <si>
    <t>Score conversao</t>
  </si>
  <si>
    <t>Score fit ORIZON</t>
  </si>
  <si>
    <t>Score total</t>
  </si>
  <si>
    <t>Proxima decisao</t>
  </si>
  <si>
    <t>Alto potencial estruturante</t>
  </si>
  <si>
    <t>Escala de tecnologia</t>
  </si>
  <si>
    <t>Portfolio core</t>
  </si>
  <si>
    <t>Expandir Auras/Auba/Tritter como nucleo de eficiencia biologica</t>
  </si>
  <si>
    <t>TCH + NOOA Tecnica</t>
  </si>
  <si>
    <t>Consolidar produto validado, ampliar mix core e formalizar plano PRIME/LEGACY</t>
  </si>
  <si>
    <t>USINA SANTA ADELIA: Alto potencial estruturante com escala de tecnologia. Direcionar ORIZON por adocao tecnologica, nao apenas por potencial historico.</t>
  </si>
  <si>
    <t>Plano executivo e rotina mensal</t>
  </si>
  <si>
    <t>Designar dono, agenda executiva e plano PRIME/LEGACY</t>
  </si>
  <si>
    <t>GRUPO COCAL: Alto potencial estruturante com escala de tecnologia. Direcionar ORIZON por adocao tecnologica, nao apenas por potencial historico.</t>
  </si>
  <si>
    <t>USINA DELTA: Potencial de escala com escala de tecnologia. Direcionar ORIZON por adocao tecnologica, nao apenas por potencial historico.</t>
  </si>
  <si>
    <t>GRUPO ARALCO: Potencial de escala com escala de tecnologia. Direcionar ORIZON por adocao tecnologica, nao apenas por potencial historico.</t>
  </si>
  <si>
    <t>USINA UBERABA: Potencial de escala com escala de tecnologia. Direcionar ORIZON por adocao tecnologica, nao apenas por potencial historico.</t>
  </si>
  <si>
    <t>GRUPO VITERRA: Potencial de escala com escala de tecnologia. Direcionar ORIZON por adocao tecnologica, nao apenas por potencial historico.</t>
  </si>
  <si>
    <t>Piloto enterprise LEGACY</t>
  </si>
  <si>
    <t>Governanca enterprise, validacao TCH e expansao plurianual</t>
  </si>
  <si>
    <t>TCH ano 1 + Mais Maquinas ano 2</t>
  </si>
  <si>
    <t>Entrar por unidades-piloto, validar com TCH, padronizar e renovar em contrato plurianual</t>
  </si>
  <si>
    <t>GRUPO RAÍZEN: Ancora estrategica com piloto enterprise legacy. Direcionar ORIZON por adocao tecnologica, nao apenas por potencial historico.</t>
  </si>
  <si>
    <t>Abrir comite LEGACY e validar piloto governado</t>
  </si>
  <si>
    <t>GRUPO CORURIPE: Alto potencial estruturante com escala de tecnologia. Direcionar ORIZON por adocao tecnologica, nao apenas por potencial historico.</t>
  </si>
  <si>
    <t>USINA BRANCO PERES: Potencial de escala com escala de tecnologia. Direcionar ORIZON por adocao tecnologica, nao apenas por potencial historico.</t>
  </si>
  <si>
    <t>GRUPO PEDRA: Alto potencial estruturante com escala de tecnologia. Direcionar ORIZON por adocao tecnologica, nao apenas por potencial historico.</t>
  </si>
  <si>
    <t>Potencial de escala</t>
  </si>
  <si>
    <t>NOOA Tecnica + consultoria externa</t>
  </si>
  <si>
    <t>USINA CERRADÃO: Potencial de escala com escala de tecnologia. Direcionar ORIZON por adocao tecnologica, nao apenas por potencial historico.</t>
  </si>
  <si>
    <t>Acompanhamento comercial por marco</t>
  </si>
  <si>
    <t>Converter oportunidade em proposta com mix core e marco tecnico</t>
  </si>
  <si>
    <t>USINA CALIFÓRNIA: Potencial de escala com escala de tecnologia. Direcionar ORIZON por adocao tecnologica, nao apenas por potencial historico.</t>
  </si>
  <si>
    <t>USINA ALCON: Potencial de escala com escala de tecnologia. Direcionar ORIZON por adocao tecnologica, nao apenas por potencial historico.</t>
  </si>
  <si>
    <t>Entrada por tecnologia basica</t>
  </si>
  <si>
    <t>Linha basica</t>
  </si>
  <si>
    <t>Converter entrada basica em trilha de adocao tecnologica</t>
  </si>
  <si>
    <t>Usar linha basica como porta de entrada e migrar para Auras/Auba/Tritter</t>
  </si>
  <si>
    <t>GRUPO COFCO: Alto potencial estruturante com entrada por tecnologia basica. Direcionar ORIZON por adocao tecnologica, nao apenas por potencial historico.</t>
  </si>
  <si>
    <t>GRUPO SANTA TEREZINHA: Potencial de escala com escala de tecnologia. Direcionar ORIZON por adocao tecnologica, nao apenas por potencial historico.</t>
  </si>
  <si>
    <t>GRUPO TEREOS: Alto potencial estruturante com escala de tecnologia. Direcionar ORIZON por adocao tecnologica, nao apenas por potencial historico.</t>
  </si>
  <si>
    <t>Prova de valor assistida</t>
  </si>
  <si>
    <t>NOOA Tecnica</t>
  </si>
  <si>
    <t>Medir resultado, transformar protocolo em compra recorrente e evoluir para FLOW/PRIME</t>
  </si>
  <si>
    <t>USINA IPIRANGA: Alto potencial estruturante com prova de valor assistida. Direcionar ORIZON por adocao tecnologica, nao apenas por potencial historico.</t>
  </si>
  <si>
    <t>Potencial em qualificacao</t>
  </si>
  <si>
    <t>GRUPO ITAJOBI: Potencial de escala com escala de tecnologia. Direcionar ORIZON por adocao tecnologica, nao apenas por potencial historico.</t>
  </si>
  <si>
    <t>Usar linha basica como porta de entrada para portfolio core</t>
  </si>
  <si>
    <t>USINA ALTA MOGIANA: Potencial de conversao com prova de valor assistida. Direcionar ORIZON por adocao tecnologica, nao apenas por potencial historico.</t>
  </si>
  <si>
    <t>USINA CAFEALCOOL: Potencial de conversao com prova de valor assistida. Direcionar ORIZON por adocao tecnologica, nao apenas por potencial historico.</t>
  </si>
  <si>
    <t>Definir protocolo mensuravel e criterio de continuidade</t>
  </si>
  <si>
    <t>USINA ESTIVA: Potencial de conversao com prova de valor assistida. Direcionar ORIZON por adocao tecnologica, nao apenas por potencial historico.</t>
  </si>
  <si>
    <t>USINA BATATAIS: Potencial latente com prova de valor assistida. Direcionar ORIZON por adocao tecnologica, nao apenas por potencial historico.</t>
  </si>
  <si>
    <t>USINA LINS: Potencial de conversao com prova de valor assistida. Direcionar ORIZON por adocao tecnologica, nao apenas por potencial historico.</t>
  </si>
  <si>
    <t>USINA PITANGUEIRAS: Potencial latente com entrada por tecnologia basica. Direcionar ORIZON por adocao tecnologica, nao apenas por potencial historico.</t>
  </si>
  <si>
    <t>Grupo CMAA: Potencial latente com prova de valor assistida. Direcionar ORIZON por adocao tecnologica, nao apenas por potencial historico.</t>
  </si>
  <si>
    <t>GRUPO COLOMBO: Potencial latente com prova de valor assistida. Direcionar ORIZON por adocao tecnologica, nao apenas por potencial historico.</t>
  </si>
  <si>
    <t>USINA DA MATA: Potencial de conversao com prova de valor assistida. Direcionar ORIZON por adocao tecnologica, nao apenas por potencial historico.</t>
  </si>
  <si>
    <t>GRUPO CLEALCO: Potencial latente com prova de valor assistida. Direcionar ORIZON por adocao tecnologica, nao apenas por potencial historico.</t>
  </si>
  <si>
    <t>Entrada ou reaproximacao controlada</t>
  </si>
  <si>
    <t>Diagnostico e qualificacao</t>
  </si>
  <si>
    <t>Diagnostico</t>
  </si>
  <si>
    <t>Comecar por diagnostico, dor operacional e protocolo mensuravel</t>
  </si>
  <si>
    <t>Comercial + NOOA Tecnica</t>
  </si>
  <si>
    <t>Qualificar decisor, dor operacional e janela agricola antes de liberar investimento</t>
  </si>
  <si>
    <t>GRUPO CMNP: Potencial a qualificar com diagnostico e qualificacao. Direcionar ORIZON por adocao tecnologica, nao apenas por potencial historico.</t>
  </si>
  <si>
    <t>Reaproximar, qualificar dor operacional e acesso a decisor</t>
  </si>
  <si>
    <t>BP BIOENERGY: Alto potencial estruturante com diagnostico e qualificacao. Direcionar ORIZON por adocao tecnologica, nao apenas por potencial historico.</t>
  </si>
  <si>
    <t>Reaproximacao controlada</t>
  </si>
  <si>
    <t>Retomar acesso, entender restricao financeira e limitar credito ate novo marco tecnico</t>
  </si>
  <si>
    <t>ALCOESTE: Potencial latente com reaproximacao controlada. Direcionar ORIZON por adocao tecnologica, nao apenas por potencial historico.</t>
  </si>
  <si>
    <t>USINA BEVAP: Potencial a qualificar com diagnostico e qualificacao. Direcionar ORIZON por adocao tecnologica, nao apenas por potencial historico.</t>
  </si>
  <si>
    <t>USINA PIRASSUNUNGA 51: Potencial a qualificar com diagnostico e qualificacao. Direcionar ORIZON por adocao tecnologica, nao apenas por potencial historico.</t>
  </si>
  <si>
    <t>USINA SÃO DOMINGOS: Potencial a qualificar com diagnostico e qualificacao. Direcionar ORIZON por adocao tecnologica, nao apenas por potencial historico.</t>
  </si>
  <si>
    <t>USINA SÃO FRANCISCO: Potencial a qualificar com diagnostico e qualificacao. Direcionar ORIZON por adocao tecnologica, nao apenas por potencial historico.</t>
  </si>
  <si>
    <t>USINA SÃO MANOEL: Potencial a qualificar com diagnostico e qualificacao. Direcionar ORIZON por adocao tecnologica, nao apenas por potencial historico.</t>
  </si>
  <si>
    <t>USINA SÃO LUIZ: Potencial a qualificar com diagnostico e qualificacao. Direcionar ORIZON por adocao tecnologica, nao apenas por potencial historico.</t>
  </si>
  <si>
    <t>USINA SÃO LUIS/FERRARI: Potencial a qualificar com diagnostico e qualificacao. Direcionar ORIZON por adocao tecnologica, nao apenas por potencial historico.</t>
  </si>
  <si>
    <t>GRUPO VALE DO VERDÃO: Alto potencial estruturante com diagnostico e qualificacao. Direcionar ORIZON por adocao tecnologica, nao apenas por potencial historico.</t>
  </si>
  <si>
    <t>USINA VIRALCOOL: Potencial a qualificar com diagnostico e qualificacao. Direcionar ORIZON por adocao tecnologica, nao apenas por potencial historico.</t>
  </si>
  <si>
    <t>USINA SANTA ISABEL: Potencial a qualificar com diagnostico e qualificacao. Direcionar ORIZON por adocao tecnologica, nao apenas por potencial historico.</t>
  </si>
  <si>
    <t>USINA SONORA: Potencial a qualificar com diagnostico e qualificacao. Direcionar ORIZON por adocao tecnologica, nao apenas por potencial historico.</t>
  </si>
  <si>
    <t>USINA USIBAN: Potencial a qualificar com diagnostico e qualificacao. Direcionar ORIZON por adocao tecnologica, nao apenas por potencial historico.</t>
  </si>
  <si>
    <t>USINA CERRADINHO BIO: Potencial a qualificar com diagnostico e qualificacao. Direcionar ORIZON por adocao tecnologica, nao apenas por potencial historico.</t>
  </si>
  <si>
    <t>ACESSÍVEL: Potencial a qualificar com diagnostico e qualificacao. Direcionar ORIZON por adocao tecnologica, nao apenas por potencial historico.</t>
  </si>
  <si>
    <t>ORIZON | Pipeline Mensal</t>
  </si>
  <si>
    <t>Distribuicao mensal do potencial extraida da aba Resumo matriz</t>
  </si>
  <si>
    <t>Mes</t>
  </si>
  <si>
    <t>Potencial R$</t>
  </si>
  <si>
    <t>Participacao</t>
  </si>
  <si>
    <t>JANEIRO</t>
  </si>
  <si>
    <t>FEVEREIRO</t>
  </si>
  <si>
    <t>MARÇO</t>
  </si>
  <si>
    <t>ABRIL</t>
  </si>
  <si>
    <t>MAIO</t>
  </si>
  <si>
    <t>JUNHO</t>
  </si>
  <si>
    <t>JULHO</t>
  </si>
  <si>
    <t>AGOSTO</t>
  </si>
  <si>
    <t>SETEMBRO</t>
  </si>
  <si>
    <t>OUTUBRO</t>
  </si>
  <si>
    <t>NOVEMBRO</t>
  </si>
  <si>
    <t>DEZEMBRO</t>
  </si>
  <si>
    <t>ORIZON | Parceiros Operacionais</t>
  </si>
  <si>
    <t>Uso recomendado dos parceiros conforme modelo de negocio e potencial do cliente</t>
  </si>
  <si>
    <t>Parceiro</t>
  </si>
  <si>
    <t>Papel</t>
  </si>
  <si>
    <t>Quando acionar</t>
  </si>
  <si>
    <t>Entrega esperada</t>
  </si>
  <si>
    <t>Nivel recomendado</t>
  </si>
  <si>
    <t>TCH Gestao Agricola</t>
  </si>
  <si>
    <t>Braco tecnico</t>
  </si>
  <si>
    <t>PRIME/LEGACY, validacao tecnica, auditoria, treinamento</t>
  </si>
  <si>
    <t>Diagnostico, laudo, plano de correcao, evidencia de campo</t>
  </si>
  <si>
    <t>PRIME+</t>
  </si>
  <si>
    <t>Braco estrutural</t>
  </si>
  <si>
    <t>Quando a barreira for mecanizacao, aplicacao ou padrao operacional</t>
  </si>
  <si>
    <t>Plano estrutural, recomendacao de aplicacao e melhoria operacional</t>
  </si>
  <si>
    <t>Biotecnologia</t>
  </si>
  <si>
    <t>Todos os niveis com potencial positivo</t>
  </si>
  <si>
    <t>Protocolo biologico e leitura agronomica</t>
  </si>
  <si>
    <t>Todos</t>
  </si>
  <si>
    <t>Comercial</t>
  </si>
  <si>
    <t>Orquestracao</t>
  </si>
  <si>
    <t>Toda conta com potencial ou prioridade definida</t>
  </si>
  <si>
    <t>Plano de conta, proposta e follow-up</t>
  </si>
  <si>
    <t>Consultoria externa</t>
  </si>
  <si>
    <t>Prova de valor</t>
  </si>
  <si>
    <t>Clientes reclusos, resultados inconclusivos ou conversao complexa</t>
  </si>
  <si>
    <t>Relatorio independente e ponte com decisores</t>
  </si>
  <si>
    <t>FLOW+</t>
  </si>
  <si>
    <t>Suprimentos cliente</t>
  </si>
  <si>
    <t>Conversao</t>
  </si>
  <si>
    <t>Contas com produto validado e oportunidade de cotacao</t>
  </si>
  <si>
    <t>Acesso a cotacao e condicao saudavel</t>
  </si>
  <si>
    <t>ORIZON | Acoes por Modelo</t>
  </si>
  <si>
    <t>Playbook de consistencia para tratar modelos de negocio individuais</t>
  </si>
  <si>
    <t>Politica saudavel</t>
  </si>
  <si>
    <t>Proxima acao</t>
  </si>
  <si>
    <t>Criar primeiro caso enterprise ORIZON</t>
  </si>
  <si>
    <t>Nao vender desconto; estruturar piloto com governanca, diagnostico TCH e trilha plurianual</t>
  </si>
  <si>
    <t>Comite executivo + plano 2026/2027</t>
  </si>
  <si>
    <t>Contrato, areas validadas e expansao</t>
  </si>
  <si>
    <t>Capturar potencial com portfolio integrado</t>
  </si>
  <si>
    <t>Investimento tecnico condicionado a plano executivo e mix core</t>
  </si>
  <si>
    <t>Reuniao decisoria + proposta ORIZON PRIME/LEGACY</t>
  </si>
  <si>
    <t>Receita e hectares evoluidos</t>
  </si>
  <si>
    <t>Converter oportunidade relevante em recorrencia</t>
  </si>
  <si>
    <t>Apoio tecnico limitado por teto e evidencia de campo</t>
  </si>
  <si>
    <t>Plano tecnico-comercial com responsavel e prazo</t>
  </si>
  <si>
    <t>Conversao e margem</t>
  </si>
  <si>
    <t>Abrir relacionamento sem diluir posicionamento premium</t>
  </si>
  <si>
    <t>Nao financiar desconto; usar linha basica como porta de entrada para AURAS/AUBA</t>
  </si>
  <si>
    <t>Protocolo com trilha de upsell</t>
  </si>
  <si>
    <t>Reduzir risco percebido</t>
  </si>
  <si>
    <t>Protocolo pequeno, mensuravel e com criterio de continuidade</t>
  </si>
  <si>
    <t>Diagnostico + relatorio evolutivo</t>
  </si>
  <si>
    <t>Laudo e nova area</t>
  </si>
  <si>
    <t>Preservar foco comercial</t>
  </si>
  <si>
    <t>Sem investimento relevante antes de acesso, decisor e dor operacional clara</t>
  </si>
  <si>
    <t>Reaproximacao e qualificacao</t>
  </si>
  <si>
    <t>Avanco de etapa</t>
  </si>
  <si>
    <t>ORIZON | Modelo de Pontuacao Reformulado</t>
  </si>
  <si>
    <t>Regua de partida para iniciar a operacao do zero em todos os clientes, sem depender do status de governanca inicial.</t>
  </si>
  <si>
    <t>Componente</t>
  </si>
  <si>
    <t>Peso max.</t>
  </si>
  <si>
    <t>Fonte principal</t>
  </si>
  <si>
    <t>Regra executiva</t>
  </si>
  <si>
    <t>Porte operacional</t>
  </si>
  <si>
    <t>Mede tamanho da oportunidade agricola; areas maiores sobem na fila mesmo com CRM zerado.</t>
  </si>
  <si>
    <t>Prioridade comercial</t>
  </si>
  <si>
    <t>Alta, Media e Baixa preservam o julgamento comercial da carteira.</t>
  </si>
  <si>
    <t>Adocao tecnica</t>
  </si>
  <si>
    <t>Estagio + historico</t>
  </si>
  <si>
    <t>Valoriza escala/prova de tecnologia e penaliza ausencia de validacao ou rejeicao tecnica.</t>
  </si>
  <si>
    <t>Conversao operacional</t>
  </si>
  <si>
    <t>Modelo + acao proposta</t>
  </si>
  <si>
    <t>Mede proximidade de acesso, cotacao, decisor e clareza do proximo movimento.</t>
  </si>
  <si>
    <t>Fit ORIZON</t>
  </si>
  <si>
    <t>Tecnologia, parceiro e governanca</t>
  </si>
  <si>
    <t>Valoriza portfolio core, TCH, Mais Maquinas e trilhas PRIME/LEGACY.</t>
  </si>
  <si>
    <t>Soma dos componentes</t>
  </si>
  <si>
    <t>Score final usado para fila inicial e nivel ORIZON reformulado.</t>
  </si>
  <si>
    <t>Faixa de score</t>
  </si>
  <si>
    <t>Nivel</t>
  </si>
  <si>
    <t>Conduta</t>
  </si>
  <si>
    <t>85 a 100</t>
  </si>
  <si>
    <t>Fila 1</t>
  </si>
  <si>
    <t>Plano executivo imediato, dono comercial e governanca mensal.</t>
  </si>
  <si>
    <t>70 a 84</t>
  </si>
  <si>
    <t>Fila 2</t>
  </si>
  <si>
    <t>Conversao assistida em 30 dias com mix core e marco tecnico.</t>
  </si>
  <si>
    <t>55 a 69</t>
  </si>
  <si>
    <t>Fila 3</t>
  </si>
  <si>
    <t>Prova de valor em 60 dias com criterio de continuidade.</t>
  </si>
  <si>
    <t>0 a 54</t>
  </si>
  <si>
    <t>Fila 4</t>
  </si>
  <si>
    <t>Qualificacao sem investimento relevante antes de dor, acesso e decisor.</t>
  </si>
  <si>
    <t>Resumo reformulado</t>
  </si>
  <si>
    <t>Top clientes por score</t>
  </si>
  <si>
    <t>Score</t>
  </si>
  <si>
    <t>Fila</t>
  </si>
  <si>
    <t>Modelo</t>
  </si>
  <si>
    <t>ORIZON | Politica de Credito por Cotacao Vigente</t>
  </si>
  <si>
    <t>O teto do cliente nasce da cotacao vigente do mes; o credito liberavel nasce da compra efetiva por produto. Cotacao limita, compra gera.</t>
  </si>
  <si>
    <t>Parametro</t>
  </si>
  <si>
    <t>Como usar</t>
  </si>
  <si>
    <t>Mes vigente</t>
  </si>
  <si>
    <t>Mês atual</t>
  </si>
  <si>
    <t>Referencia comercial da cotacao ativa</t>
  </si>
  <si>
    <t>Atualizar a cada ciclo mensal.</t>
  </si>
  <si>
    <t>Cotacao vigente do cliente</t>
  </si>
  <si>
    <t>Base para teto mensal ORIZON</t>
  </si>
  <si>
    <t>Substituir pelo valor total cotado no mes.</t>
  </si>
  <si>
    <t>Credito gerado pela compra</t>
  </si>
  <si>
    <t>Soma do simulador por produto</t>
  </si>
  <si>
    <t>Calculado por quantidade comprada x credito por L/Kg.</t>
  </si>
  <si>
    <t>Nivel do cliente</t>
  </si>
  <si>
    <t>Define percentual de teto</t>
  </si>
  <si>
    <t>Usar nivel reformulado da aba Especificacao Clientes.</t>
  </si>
  <si>
    <t>Teto ORIZON do mes</t>
  </si>
  <si>
    <t>Cotacao vigente x percentual do nivel</t>
  </si>
  <si>
    <t>Limite maximo antes da compra.</t>
  </si>
  <si>
    <t>Credito liberavel no mes</t>
  </si>
  <si>
    <t>Menor entre credito gerado e teto do mes</t>
  </si>
  <si>
    <t>Nao liberar credito sem compra correspondente.</t>
  </si>
  <si>
    <t>Score reformulado</t>
  </si>
  <si>
    <t>% teto sobre cotacao vigente</t>
  </si>
  <si>
    <t>Exigencia de compra</t>
  </si>
  <si>
    <t>Teto calculado do mes</t>
  </si>
  <si>
    <t>Credito liberavel</t>
  </si>
  <si>
    <t>Gatilho de uso</t>
  </si>
  <si>
    <t>Regra de protecao</t>
  </si>
  <si>
    <t>Compra confirmada ou pedido firme</t>
  </si>
  <si>
    <t>Diagnostico, treinamento ou prova tecnica pequena</t>
  </si>
  <si>
    <t>Sem antecipacao; liberar apos compra ou pedido firme.</t>
  </si>
  <si>
    <t>Compra confirmada + plano tecnico simples</t>
  </si>
  <si>
    <t>Prova de valor e consolidacao de recorrencia</t>
  </si>
  <si>
    <t>Dono comercial e follow-up mensal</t>
  </si>
  <si>
    <t>Credito limitado ao mix comprado no mes.</t>
  </si>
  <si>
    <t>Compra confirmada + mix core ou trilha de conversao</t>
  </si>
  <si>
    <t>Consultoria, TCH, laudo, treinamento e apoio tecnico</t>
  </si>
  <si>
    <t>Credito condicionado a marco tecnico e margem preservada.</t>
  </si>
  <si>
    <t>85 a 100 ou ancora</t>
  </si>
  <si>
    <t>Compra confirmada + governanca executiva</t>
  </si>
  <si>
    <t>Success Cycle, TCH, Mais Maquinas e expansao plurianual</t>
  </si>
  <si>
    <t>Comite mensal e plano por unidade/grupo</t>
  </si>
  <si>
    <t>Nao usar como rebate; liberar por fase e evidencia.</t>
  </si>
  <si>
    <t>Regra operacional</t>
  </si>
  <si>
    <t>Credito ORIZON nao e desconto automatico: ele e um budget tecnico-operacional gerado pela compra, limitado pela cotacao vigente do mes e liberado por marco de execucao.</t>
  </si>
  <si>
    <t>Quantidade comprada (L ou Kg)</t>
  </si>
  <si>
    <t>Credito por L ou Kg</t>
  </si>
  <si>
    <t>Credito gerado</t>
  </si>
  <si>
    <t>Receita da compra</t>
  </si>
  <si>
    <t>Exemplo de decisao</t>
  </si>
  <si>
    <t>Formula conceitual</t>
  </si>
  <si>
    <t>Leitura</t>
  </si>
  <si>
    <t>Soma(D24:D32)</t>
  </si>
  <si>
    <t>Soma das compras por produto.</t>
  </si>
  <si>
    <t>Teto do cliente</t>
  </si>
  <si>
    <t>Limite economico do mes.</t>
  </si>
  <si>
    <t>Menor entre credito gerado e teto</t>
  </si>
  <si>
    <t>Nao pode superar compra nem teto.</t>
  </si>
  <si>
    <t>ORIZON | Produtos, Pesos e Credito por Compra</t>
  </si>
  <si>
    <t>Credito gerado por unidade comprada: valor vigente por L/Kg x fator de credito do papel no mix; dose/ha estima credito por hectare.</t>
  </si>
  <si>
    <t>Fator credito</t>
  </si>
  <si>
    <t>Valor vigente (L ou Kg)</t>
  </si>
  <si>
    <t>Dose/ha (L ou Kg)</t>
  </si>
  <si>
    <t>Receita/ha estimada</t>
  </si>
  <si>
    <t>Credito por ha</t>
  </si>
  <si>
    <t>Regra de uso</t>
  </si>
  <si>
    <t>Gera credito pleno; usar para carteira PRIME/LEGACY e expansao de portfolio.</t>
  </si>
  <si>
    <t>Gera credito pleno; base de recorrencia biologica e integracao operacional.</t>
  </si>
  <si>
    <t>Acelerador tecnico</t>
  </si>
  <si>
    <t>Credito intermediario; acelera prova tecnica e abre conversao.</t>
  </si>
  <si>
    <t>Gera credito pleno quando compoe pacote de sanidade e protecao biologica.</t>
  </si>
  <si>
    <t>Credito de estrutura B2B; sustenta operacao sem virar desconto direto.</t>
  </si>
  <si>
    <t>Faixa proxima ao B2B; abre porta para mix core sem desvalorizar entrada.</t>
  </si>
  <si>
    <t>Faixa proxima ao B2B; recorrencia e composicao de carteira.</t>
  </si>
  <si>
    <t>Faixa proxima ao B2B; composicao operacional com baixo valor unitario.</t>
  </si>
  <si>
    <t>Credito de estrutura B2B; apoio operacional e integracao de aplicacao.</t>
  </si>
  <si>
    <t>Leitura da calibragem</t>
  </si>
  <si>
    <t>20% do valor por L/Kg</t>
  </si>
  <si>
    <t>Maior geracao porque sustenta tese tecnologica e recorrencia premium.</t>
  </si>
  <si>
    <t>16% do valor por L/Kg</t>
  </si>
  <si>
    <t>Fica abaixo do core, mas acima de mero produto de entrada quando abre conversao.</t>
  </si>
  <si>
    <t>14% do valor por L/Kg</t>
  </si>
  <si>
    <t>Faixa de apoio operacional B2B, preservando margem e governanca.</t>
  </si>
  <si>
    <t>13% do valor por L/Kg</t>
  </si>
  <si>
    <t>Fica parecido com B2B para nao punir a entrada, mas sem superar o estrutural.</t>
  </si>
  <si>
    <t>Formula</t>
  </si>
  <si>
    <t>Credito por L ou Kg = Valor vigente x Fator credito; Credito por ha = Credito por L ou Kg x Dose/ha.</t>
  </si>
  <si>
    <t>Coluna1</t>
  </si>
  <si>
    <t>Coluna2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</si>
</sst>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R\$\ #,##0.00"/>
    <numFmt numFmtId="165" formatCode="\R\$\ #,##0"/>
    <numFmt numFmtId="166" formatCode="#,##0.0"/>
    <numFmt numFmtId="167" formatCode="0.0%"/>
    <numFmt numFmtId="168" formatCode="0.0"/>
  </numFmts>
  <fonts count="6">
    <font>
      <sz val="11"/>
      <name val="Carlito"/>
    </font>
    <font>
      <b/>
      <sz val="18"/>
      <color rgb="FFFFFFFF"/>
      <name val="Carlito"/>
    </font>
    <font>
      <i/>
      <sz val="11"/>
      <color rgb="FF083B66"/>
      <name val="Carlito"/>
    </font>
    <font>
      <b/>
      <sz val="11"/>
      <color rgb="FFFFFFFF"/>
      <name val="Carlito"/>
    </font>
    <font>
      <b/>
      <sz val="11"/>
      <name val="Carlito"/>
    </font>
    <font>
      <sz val="8"/>
      <name val="Carlito"/>
    </font>
  </fonts>
  <fills count="10">
    <fill>
      <patternFill patternType="none"/>
    </fill>
    <fill>
      <patternFill patternType="gray125"/>
    </fill>
    <fill>
      <patternFill patternType="solid">
        <fgColor rgb="FF083B66"/>
      </patternFill>
    </fill>
    <fill>
      <patternFill patternType="solid">
        <fgColor rgb="FFEAF3F8"/>
      </patternFill>
    </fill>
    <fill>
      <patternFill patternType="solid">
        <fgColor rgb="FF3F7D4A"/>
      </patternFill>
    </fill>
    <fill>
      <patternFill patternType="solid">
        <fgColor rgb="FFF36F21"/>
      </patternFill>
    </fill>
    <fill>
      <patternFill patternType="solid">
        <fgColor rgb="FF123C3A"/>
      </patternFill>
    </fill>
    <fill>
      <patternFill patternType="solid">
        <fgColor rgb="FFDDE8E6"/>
      </patternFill>
    </fill>
    <fill>
      <patternFill patternType="solid">
        <fgColor rgb="FF123C3A"/>
      </patternFill>
    </fill>
    <fill>
      <patternFill patternType="solid">
        <fgColor rgb="FFDDE8E6"/>
      </patternFill>
    </fill>
  </fills>
  <borders count="1">
    <border>
      <left/>
      <right/>
      <top/>
      <bottom/>
      <diagonal/>
    </border>
  </borders>
  <cellStyleXfs count="1">
    <xf numFmtId="0" fontId="0" fillId="0" borderId="0"/>
  </cellStyleXfs>
  <cellXfs count="42">
    <xf numFmtId="0" fontId="0" fillId="0" borderId="0" xfId="0"/>
    <xf numFmtId="0" fontId="3" fillId="4" borderId="0" xfId="0" applyFont="1" applyFill="1" applyAlignment="1">
      <alignment horizontal="center" vertical="center" wrapText="1"/>
    </xf>
    <xf numFmtId="0" fontId="3" fillId="5" borderId="0" xfId="0" applyFont="1" applyFill="1" applyAlignment="1">
      <alignment horizontal="center" vertical="center" wrapText="1"/>
    </xf>
    <xf numFmtId="0" fontId="3" fillId="2" borderId="0" xfId="0" applyFont="1" applyFill="1" applyAlignment="1">
      <alignment horizontal="center" vertical="center" wrapText="1"/>
    </xf>
    <xf numFmtId="0" fontId="0" fillId="0" borderId="0" xfId="0" applyAlignment="1">
      <alignment vertical="center" wrapText="1"/>
    </xf>
    <xf numFmtId="165" fontId="0" fillId="0" borderId="0" xfId="0" applyNumberFormat="1" applyAlignment="1">
      <alignment vertical="center" wrapText="1"/>
    </xf>
    <xf numFmtId="3" fontId="0" fillId="0" borderId="0" xfId="0" applyNumberFormat="1" applyAlignment="1">
      <alignment vertical="center" wrapText="1"/>
    </xf>
    <xf numFmtId="9" fontId="0" fillId="0" borderId="0" xfId="0" applyNumberFormat="1" applyAlignment="1">
      <alignment vertical="center" wrapText="1"/>
    </xf>
    <xf numFmtId="2" fontId="0" fillId="0" borderId="0" xfId="0" applyNumberFormat="1" applyAlignment="1">
      <alignment vertical="center" wrapText="1"/>
    </xf>
    <xf numFmtId="1" fontId="0" fillId="0" borderId="0" xfId="0" applyNumberFormat="1" applyAlignment="1">
      <alignment vertical="center" wrapText="1"/>
    </xf>
    <xf numFmtId="167" fontId="0" fillId="0" borderId="0" xfId="0" applyNumberFormat="1" applyAlignment="1">
      <alignment vertical="center" wrapText="1"/>
    </xf>
    <xf numFmtId="0" fontId="0" fillId="0" borderId="0" xfId="0" applyAlignment="1">
      <alignment vertical="center"/>
    </xf>
    <xf numFmtId="0" fontId="3" fillId="4" borderId="0" xfId="0" applyFont="1" applyFill="1" applyAlignment="1">
      <alignment horizontal="center" vertical="center"/>
    </xf>
    <xf numFmtId="3" fontId="0" fillId="0" borderId="0" xfId="0" applyNumberFormat="1" applyAlignment="1">
      <alignment vertical="center"/>
    </xf>
    <xf numFmtId="165" fontId="0" fillId="0" borderId="0" xfId="0" applyNumberFormat="1" applyAlignment="1">
      <alignment vertical="center"/>
    </xf>
    <xf numFmtId="166" fontId="0" fillId="0" borderId="0" xfId="0" applyNumberFormat="1" applyAlignment="1">
      <alignment vertical="center"/>
    </xf>
    <xf numFmtId="2" fontId="0" fillId="0" borderId="0" xfId="0" applyNumberFormat="1" applyAlignment="1">
      <alignment vertical="center"/>
    </xf>
    <xf numFmtId="0" fontId="4" fillId="7" borderId="0" xfId="0" applyFont="1" applyFill="1"/>
    <xf numFmtId="1" fontId="0" fillId="0" borderId="0" xfId="0" applyNumberFormat="1"/>
    <xf numFmtId="0" fontId="0" fillId="0" borderId="0" xfId="0" applyAlignment="1">
      <alignment wrapText="1"/>
    </xf>
    <xf numFmtId="0" fontId="4" fillId="7" borderId="0" xfId="0" applyFont="1" applyFill="1" applyAlignment="1">
      <alignment wrapText="1"/>
    </xf>
    <xf numFmtId="1" fontId="0" fillId="0" borderId="0" xfId="0" applyNumberFormat="1" applyAlignment="1">
      <alignment wrapText="1"/>
    </xf>
    <xf numFmtId="168" fontId="0" fillId="0" borderId="0" xfId="0" applyNumberFormat="1" applyAlignment="1">
      <alignment wrapText="1"/>
    </xf>
    <xf numFmtId="0" fontId="3" fillId="7" borderId="0" xfId="0" applyFont="1" applyFill="1" applyAlignment="1">
      <alignment horizontal="center" vertical="center" wrapText="1"/>
    </xf>
    <xf numFmtId="1" fontId="0" fillId="0" borderId="0" xfId="0" applyNumberFormat="1" applyAlignment="1">
      <alignment vertical="center"/>
    </xf>
    <xf numFmtId="168" fontId="0" fillId="0" borderId="0" xfId="0" applyNumberFormat="1" applyAlignment="1">
      <alignment vertical="center" wrapText="1"/>
    </xf>
    <xf numFmtId="168" fontId="4" fillId="7" borderId="0" xfId="0" applyNumberFormat="1" applyFont="1" applyFill="1"/>
    <xf numFmtId="165" fontId="4" fillId="7" borderId="0" xfId="0" applyNumberFormat="1" applyFont="1" applyFill="1"/>
    <xf numFmtId="0" fontId="4" fillId="9" borderId="0" xfId="0" applyFont="1" applyFill="1" applyAlignment="1">
      <alignment wrapText="1"/>
    </xf>
    <xf numFmtId="167" fontId="0" fillId="0" borderId="0" xfId="0" applyNumberFormat="1" applyAlignment="1">
      <alignment wrapText="1"/>
    </xf>
    <xf numFmtId="164" fontId="0" fillId="0" borderId="0" xfId="0" applyNumberFormat="1" applyAlignment="1">
      <alignment wrapText="1"/>
    </xf>
    <xf numFmtId="2" fontId="0" fillId="0" borderId="0" xfId="0" applyNumberFormat="1" applyAlignment="1">
      <alignment wrapText="1"/>
    </xf>
    <xf numFmtId="4" fontId="0" fillId="0" borderId="0" xfId="0" applyNumberFormat="1" applyAlignment="1">
      <alignment wrapText="1"/>
    </xf>
    <xf numFmtId="0" fontId="3" fillId="8" borderId="0" xfId="0" applyFont="1" applyFill="1" applyAlignment="1">
      <alignment wrapText="1"/>
    </xf>
    <xf numFmtId="0" fontId="0" fillId="0" borderId="0" xfId="0"/>
    <xf numFmtId="0" fontId="1" fillId="2" borderId="0" xfId="0" applyFont="1" applyFill="1" applyAlignment="1">
      <alignment vertical="center" wrapText="1"/>
    </xf>
    <xf numFmtId="0" fontId="0" fillId="0" borderId="0" xfId="0" applyAlignment="1">
      <alignment vertical="center" wrapText="1"/>
    </xf>
    <xf numFmtId="0" fontId="2" fillId="3" borderId="0" xfId="0" applyFont="1" applyFill="1" applyAlignment="1">
      <alignment vertical="center" wrapText="1"/>
    </xf>
    <xf numFmtId="0" fontId="1" fillId="2" borderId="0" xfId="0" applyFont="1" applyFill="1" applyAlignment="1">
      <alignment vertical="center"/>
    </xf>
    <xf numFmtId="0" fontId="0" fillId="0" borderId="0" xfId="0" applyAlignment="1">
      <alignment vertical="center"/>
    </xf>
    <xf numFmtId="0" fontId="2" fillId="3" borderId="0" xfId="0" applyFont="1" applyFill="1" applyAlignment="1">
      <alignment vertical="center"/>
    </xf>
    <xf numFmtId="0" fontId="3" fillId="6" borderId="0" xfId="0" applyFont="1" applyFill="1" applyAlignment="1">
      <alignment wrapText="1"/>
    </xf>
  </cellXfs>
  <cellStyles count="1">
    <cellStyle name="Normal" xfId="0" builtinId="0"/>
  </cellStyles>
  <dxfs count="12">
    <dxf>
      <font>
        <b/>
        <color rgb="FFF36F21"/>
      </font>
      <fill>
        <patternFill>
          <bgColor rgb="FFFFF1E8"/>
        </patternFill>
      </fill>
    </dxf>
    <dxf>
      <font>
        <b/>
        <color rgb="FF3F7D4A"/>
      </font>
      <fill>
        <patternFill>
          <bgColor rgb="FFEEF4EA"/>
        </patternFill>
      </fill>
    </dxf>
    <dxf>
      <font>
        <b/>
        <color rgb="FF083B66"/>
      </font>
      <fill>
        <patternFill>
          <bgColor rgb="FFEAF3F8"/>
        </patternFill>
      </fill>
    </dxf>
    <dxf>
      <font>
        <b/>
        <color rgb="FF3F7D4A"/>
      </font>
      <fill>
        <patternFill>
          <bgColor rgb="FFEEF4EA"/>
        </patternFill>
      </fill>
    </dxf>
    <dxf>
      <font>
        <b/>
        <color rgb="FFF36F21"/>
      </font>
      <fill>
        <patternFill>
          <bgColor rgb="FFFFF1E8"/>
        </patternFill>
      </fill>
    </dxf>
    <dxf>
      <font>
        <b/>
        <color rgb="FF3F7D4A"/>
      </font>
      <fill>
        <patternFill>
          <bgColor rgb="FFEEF4EA"/>
        </patternFill>
      </fill>
    </dxf>
    <dxf>
      <numFmt numFmtId="1" formatCode="0"/>
    </dxf>
    <dxf>
      <numFmt numFmtId="1" formatCode="0"/>
    </dxf>
    <dxf>
      <numFmt numFmtId="1" formatCode="0"/>
    </dxf>
    <dxf>
      <numFmt numFmtId="1" formatCode="0"/>
    </dxf>
    <dxf>
      <numFmt numFmtId="1" formatCode="0"/>
    </dxf>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c:style val="2"/>
  <c:chart>
    <c:title>
      <c:tx>
        <c:rich>
          <a:bodyPr/>
          <a:lstStyle/>
          <a:p>
            <a:r>
              <a:rPr lang="pt-BR"/>
              <a:t>Potencial por Nivel ORIZON</a:t>
            </a:r>
          </a:p>
        </c:rich>
      </c:tx>
      <c:overlay val="0"/>
    </c:title>
    <c:autoTitleDeleted val="0"/>
    <c:plotArea>
      <c:layout/>
      <c:barChart>
        <c:barDir val="col"/>
        <c:grouping val="clustered"/>
        <c:varyColors val="0"/>
        <c:ser>
          <c:idx val="0"/>
          <c:order val="0"/>
          <c:tx>
            <c:v>Clientes</c:v>
          </c:tx>
          <c:invertIfNegative val="1"/>
          <c:cat>
            <c:strRef>
              <c:f>'Dashboard Executivo'!$D$5:$D$8</c:f>
              <c:strCache>
                <c:ptCount val="4"/>
                <c:pt idx="0">
                  <c:v>FOUNDATION</c:v>
                </c:pt>
                <c:pt idx="1">
                  <c:v>FLOW</c:v>
                </c:pt>
                <c:pt idx="2">
                  <c:v>PRIME</c:v>
                </c:pt>
                <c:pt idx="3">
                  <c:v>LEGACY</c:v>
                </c:pt>
              </c:strCache>
            </c:strRef>
          </c:cat>
          <c:val>
            <c:numRef>
              <c:f>'Dashboard Executivo'!$E$5:$E$8</c:f>
              <c:numCache>
                <c:formatCode>General</c:formatCode>
                <c:ptCount val="4"/>
                <c:pt idx="0">
                  <c:v>17</c:v>
                </c:pt>
                <c:pt idx="1">
                  <c:v>5</c:v>
                </c:pt>
                <c:pt idx="2">
                  <c:v>9</c:v>
                </c:pt>
                <c:pt idx="3">
                  <c:v>14</c:v>
                </c:pt>
              </c:numCache>
            </c:numRef>
          </c:val>
          <c:extLst>
            <c:ext xmlns:c16="http://schemas.microsoft.com/office/drawing/2014/chart" uri="{C3380CC4-5D6E-409C-BE32-E72D297353CC}">
              <c16:uniqueId val="{00000000-D8E3-4FFA-A21C-1605B86876F3}"/>
            </c:ext>
          </c:extLst>
        </c:ser>
        <c:ser>
          <c:idx val="1"/>
          <c:order val="1"/>
          <c:tx>
            <c:v>Potencial</c:v>
          </c:tx>
          <c:invertIfNegative val="1"/>
          <c:cat>
            <c:strRef>
              <c:f>'Dashboard Executivo'!$D$5:$D$8</c:f>
              <c:strCache>
                <c:ptCount val="4"/>
                <c:pt idx="0">
                  <c:v>FOUNDATION</c:v>
                </c:pt>
                <c:pt idx="1">
                  <c:v>FLOW</c:v>
                </c:pt>
                <c:pt idx="2">
                  <c:v>PRIME</c:v>
                </c:pt>
                <c:pt idx="3">
                  <c:v>LEGACY</c:v>
                </c:pt>
              </c:strCache>
            </c:strRef>
          </c:cat>
          <c:val>
            <c:numRef>
              <c:f>'Dashboard Executivo'!$F$5:$F$8</c:f>
              <c:numCache>
                <c:formatCode>0.0</c:formatCode>
                <c:ptCount val="4"/>
                <c:pt idx="0">
                  <c:v>40.235294117647058</c:v>
                </c:pt>
                <c:pt idx="1">
                  <c:v>63.8</c:v>
                </c:pt>
                <c:pt idx="2">
                  <c:v>77.777777777777771</c:v>
                </c:pt>
                <c:pt idx="3">
                  <c:v>92.785714285714292</c:v>
                </c:pt>
              </c:numCache>
            </c:numRef>
          </c:val>
          <c:extLst>
            <c:ext xmlns:c16="http://schemas.microsoft.com/office/drawing/2014/chart" uri="{C3380CC4-5D6E-409C-BE32-E72D297353CC}">
              <c16:uniqueId val="{00000001-D8E3-4FFA-A21C-1605B86876F3}"/>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numFmt formatCode="General" sourceLinked="1"/>
        <c:majorTickMark val="none"/>
        <c:minorTickMark val="none"/>
        <c:tickLblPos val="nextTo"/>
        <c:crossAx val="48650112"/>
        <c:crosses val="autoZero"/>
        <c:crossBetween val="between"/>
      </c:valAx>
    </c:plotArea>
    <c:legend>
      <c:legendPos val="b"/>
      <c:overlay val="0"/>
    </c:legend>
    <c:plotVisOnly val="1"/>
    <c:dispBlanksAs val="zero"/>
    <c:showDLblsOverMax val="1"/>
  </c:chart>
  <c:spPr>
    <a:ln w="9525">
      <a:solidFill>
        <a:srgbClr val="D9D9D9"/>
      </a:solidFill>
      <a:prstDash val="solid"/>
    </a:ln>
  </c:spPr>
  <c:printSettings>
    <c:headerFooter/>
    <c:pageMargins b="0.78740157499999996" l="0.511811024" r="0.511811024" t="0.78740157499999996" header="0.31496062000000002" footer="0.31496062000000002"/>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c:style val="2"/>
  <c:chart>
    <c:title>
      <c:tx>
        <c:rich>
          <a:bodyPr/>
          <a:lstStyle/>
          <a:p>
            <a:r>
              <a:rPr lang="pt-BR"/>
              <a:t>Pipeline Mensal 2026</a:t>
            </a:r>
          </a:p>
        </c:rich>
      </c:tx>
      <c:overlay val="0"/>
    </c:title>
    <c:autoTitleDeleted val="0"/>
    <c:plotArea>
      <c:layout/>
      <c:lineChart>
        <c:grouping val="standard"/>
        <c:varyColors val="1"/>
        <c:ser>
          <c:idx val="0"/>
          <c:order val="0"/>
          <c:tx>
            <c:v>Potencial R$</c:v>
          </c:tx>
          <c:cat>
            <c:strRef>
              <c:f>'Pipeline Mensal'!$A$5:$A$16</c:f>
              <c:strCache>
                <c:ptCount val="12"/>
                <c:pt idx="0">
                  <c:v>JANEIRO</c:v>
                </c:pt>
                <c:pt idx="1">
                  <c:v>FEVEREIRO</c:v>
                </c:pt>
                <c:pt idx="2">
                  <c:v>MARÇO</c:v>
                </c:pt>
                <c:pt idx="3">
                  <c:v>ABRIL</c:v>
                </c:pt>
                <c:pt idx="4">
                  <c:v>MAIO</c:v>
                </c:pt>
                <c:pt idx="5">
                  <c:v>JUNHO</c:v>
                </c:pt>
                <c:pt idx="6">
                  <c:v>JULHO</c:v>
                </c:pt>
                <c:pt idx="7">
                  <c:v>AGOSTO</c:v>
                </c:pt>
                <c:pt idx="8">
                  <c:v>SETEMBRO</c:v>
                </c:pt>
                <c:pt idx="9">
                  <c:v>OUTUBRO</c:v>
                </c:pt>
                <c:pt idx="10">
                  <c:v>NOVEMBRO</c:v>
                </c:pt>
                <c:pt idx="11">
                  <c:v>DEZEMBRO</c:v>
                </c:pt>
              </c:strCache>
            </c:strRef>
          </c:cat>
          <c:val>
            <c:numRef>
              <c:f>'Pipeline Mensal'!$B$5:$B$16</c:f>
              <c:numCache>
                <c:formatCode>\R\$\ #,##0</c:formatCode>
                <c:ptCount val="12"/>
                <c:pt idx="0">
                  <c:v>557262.5</c:v>
                </c:pt>
                <c:pt idx="1">
                  <c:v>1114525</c:v>
                </c:pt>
                <c:pt idx="2">
                  <c:v>1114525</c:v>
                </c:pt>
                <c:pt idx="3">
                  <c:v>1114525</c:v>
                </c:pt>
                <c:pt idx="4">
                  <c:v>557262.5</c:v>
                </c:pt>
                <c:pt idx="5">
                  <c:v>0</c:v>
                </c:pt>
                <c:pt idx="6">
                  <c:v>0</c:v>
                </c:pt>
                <c:pt idx="7">
                  <c:v>2250025</c:v>
                </c:pt>
                <c:pt idx="8">
                  <c:v>2250025</c:v>
                </c:pt>
                <c:pt idx="9">
                  <c:v>2250025</c:v>
                </c:pt>
                <c:pt idx="10">
                  <c:v>2250025</c:v>
                </c:pt>
                <c:pt idx="11">
                  <c:v>0</c:v>
                </c:pt>
              </c:numCache>
            </c:numRef>
          </c:val>
          <c:smooth val="0"/>
          <c:extLst>
            <c:ext xmlns:c16="http://schemas.microsoft.com/office/drawing/2014/chart" uri="{C3380CC4-5D6E-409C-BE32-E72D297353CC}">
              <c16:uniqueId val="{00000000-EEA9-4953-9690-2E2F145E3DD2}"/>
            </c:ext>
          </c:extLst>
        </c:ser>
        <c:dLbls>
          <c:showLegendKey val="0"/>
          <c:showVal val="0"/>
          <c:showCatName val="0"/>
          <c:showSerName val="0"/>
          <c:showPercent val="0"/>
          <c:showBubbleSize val="0"/>
        </c:dLbls>
        <c:marker val="1"/>
        <c:smooth val="0"/>
        <c:axId val="48650112"/>
        <c:axId val="48672768"/>
      </c:line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numFmt formatCode="\R\$\ #,##0" sourceLinked="1"/>
        <c:majorTickMark val="none"/>
        <c:minorTickMark val="none"/>
        <c:tickLblPos val="nextTo"/>
        <c:crossAx val="48650112"/>
        <c:crosses val="autoZero"/>
        <c:crossBetween val="between"/>
      </c:valAx>
    </c:plotArea>
    <c:plotVisOnly val="1"/>
    <c:dispBlanksAs val="zero"/>
    <c:showDLblsOverMax val="1"/>
  </c:chart>
  <c:spPr>
    <a:ln w="9525">
      <a:solidFill>
        <a:srgbClr val="D9D9D9"/>
      </a:solidFill>
      <a:prstDash val="solid"/>
    </a:ln>
  </c:spPr>
  <c:printSettings>
    <c:headerFooter/>
    <c:pageMargins b="0.78740157499999996" l="0.511811024" r="0.511811024" t="0.78740157499999996" header="0.31496062000000002" footer="0.31496062000000002"/>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0</xdr:colOff>
      <xdr:row>20</xdr:row>
      <xdr:rowOff>0</xdr:rowOff>
    </xdr:from>
    <xdr:to>
      <xdr:col>5</xdr:col>
      <xdr:colOff>0</xdr:colOff>
      <xdr:row>36</xdr:row>
      <xdr:rowOff>0</xdr:rowOff>
    </xdr:to>
    <xdr:graphicFrame macro="">
      <xdr:nvGraphicFramePr>
        <xdr:cNvPr id="2" name="Chart">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0</xdr:colOff>
      <xdr:row>20</xdr:row>
      <xdr:rowOff>0</xdr:rowOff>
    </xdr:from>
    <xdr:to>
      <xdr:col>10</xdr:col>
      <xdr:colOff>0</xdr:colOff>
      <xdr:row>36</xdr:row>
      <xdr:rowOff>0</xdr:rowOff>
    </xdr:to>
    <xdr:graphicFrame macro="">
      <xdr:nvGraphicFramePr>
        <xdr:cNvPr id="3" name="Chart">
          <a:extLst>
            <a:ext uri="{FF2B5EF4-FFF2-40B4-BE49-F238E27FC236}">
              <a16:creationId xmlns:a16="http://schemas.microsoft.com/office/drawing/2014/main" id="{00000000-0008-0000-00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0000000}" name="RaizenPilotoTable" displayName="RaizenPilotoTable" ref="A4:F12">
  <autoFilter ref="A4:F12" xr:uid="{00000000-0009-0000-0100-000009000000}"/>
  <tableColumns count="6">
    <tableColumn id="1" xr3:uid="{00000000-0010-0000-0000-000001000000}" name="Bloco"/>
    <tableColumn id="2" xr3:uid="{00000000-0010-0000-0000-000002000000}" name="Decisao"/>
    <tableColumn id="3" xr3:uid="{00000000-0010-0000-0000-000003000000}" name="Racional"/>
    <tableColumn id="4" xr3:uid="{00000000-0010-0000-0000-000004000000}" name="Como apresentar"/>
    <tableColumn id="5" xr3:uid="{00000000-0010-0000-0000-000005000000}" name="Gatilho"/>
    <tableColumn id="6" xr3:uid="{00000000-0010-0000-0000-000006000000}" name="Indicador"/>
  </tableColumns>
  <tableStyleInfo name="TableStyleMedium4"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1000000}" name="CotacaoRaizenCheiaTable" displayName="CotacaoRaizenCheiaTable" ref="A4:J12">
  <autoFilter ref="A4:J12" xr:uid="{00000000-0009-0000-0100-000008000000}"/>
  <tableColumns count="10">
    <tableColumn id="1" xr3:uid="{00000000-0010-0000-0100-000001000000}" name="Produto"/>
    <tableColumn id="2" xr3:uid="{00000000-0010-0000-0100-000002000000}" name="Area ha"/>
    <tableColumn id="3" xr3:uid="{00000000-0010-0000-0100-000003000000}" name="Dose"/>
    <tableColumn id="4" xr3:uid="{00000000-0010-0000-0100-000004000000}" name="Volume cheio"/>
    <tableColumn id="5" xr3:uid="{00000000-0010-0000-0100-000005000000}" name="Preco 30d"/>
    <tableColumn id="6" xr3:uid="{00000000-0010-0000-0100-000006000000}" name="Total 30d"/>
    <tableColumn id="7" xr3:uid="{00000000-0010-0000-0100-000007000000}" name="Preco 90d"/>
    <tableColumn id="8" xr3:uid="{00000000-0010-0000-0100-000008000000}" name="Total 90d"/>
    <tableColumn id="9" xr3:uid="{00000000-0010-0000-0100-000009000000}" name="Credito ponderado"/>
    <tableColumn id="10" xr3:uid="{00000000-0010-0000-0100-00000A000000}" name="Papel ORIZON"/>
  </tableColumns>
  <tableStyleInfo name="TableStyleMedium4"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2000000}" name="AtuacaoRaizenTable" displayName="AtuacaoRaizenTable" ref="A4:F13">
  <autoFilter ref="A4:F13" xr:uid="{00000000-0009-0000-0100-00000A000000}"/>
  <tableColumns count="6">
    <tableColumn id="1" xr3:uid="{00000000-0010-0000-0200-000001000000}" name="Frente"/>
    <tableColumn id="2" xr3:uid="{00000000-0010-0000-0200-000002000000}" name="Interlocutor"/>
    <tableColumn id="3" xr3:uid="{00000000-0010-0000-0200-000003000000}" name="Objetivo"/>
    <tableColumn id="4" xr3:uid="{00000000-0010-0000-0200-000004000000}" name="Mensagem-chave"/>
    <tableColumn id="5" xr3:uid="{00000000-0010-0000-0200-000005000000}" name="Entrega ORIZON"/>
    <tableColumn id="6" xr3:uid="{00000000-0010-0000-0200-000006000000}" name="Cadencia"/>
  </tableColumns>
  <tableStyleInfo name="TableStyleMedium4"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3000000}" name="CarteiraOrizonTable" displayName="CarteiraOrizonTable" ref="A4:AA49">
  <autoFilter ref="A4:AA49" xr:uid="{00000000-0009-0000-0100-000003000000}"/>
  <tableColumns count="27">
    <tableColumn id="1" xr3:uid="{00000000-0010-0000-0300-000001000000}" name="Cliente"/>
    <tableColumn id="2" xr3:uid="{00000000-0010-0000-0300-000002000000}" name="Area ha"/>
    <tableColumn id="3" xr3:uid="{00000000-0010-0000-0300-000003000000}" name="Cana planta"/>
    <tableColumn id="4" xr3:uid="{00000000-0010-0000-0300-000004000000}" name="Cana soca"/>
    <tableColumn id="5" xr3:uid="{00000000-0010-0000-0300-000005000000}" name="Prioridade"/>
    <tableColumn id="25" xr3:uid="{00000000-0010-0000-0300-000019000000}" name="Situacao atual"/>
    <tableColumn id="26" xr3:uid="{00000000-0010-0000-0300-00001A000000}" name="Acao proposta"/>
    <tableColumn id="27" xr3:uid="{00000000-0010-0000-0300-00001B000000}" name="Status governanca"/>
    <tableColumn id="24" xr3:uid="{00000000-0010-0000-0300-000018000000}" name="Responsavel"/>
    <tableColumn id="6" xr3:uid="{00000000-0010-0000-0300-000006000000}" name="Receita potencial"/>
    <tableColumn id="7" xr3:uid="{00000000-0010-0000-0300-000007000000}" name="Volume total"/>
    <tableColumn id="8" xr3:uid="{00000000-0010-0000-0300-000008000000}" name="Auras"/>
    <tableColumn id="9" xr3:uid="{00000000-0010-0000-0300-000009000000}" name="Auba"/>
    <tableColumn id="10" xr3:uid="{00000000-0010-0000-0300-00000A000000}" name="Nerut"/>
    <tableColumn id="11" xr3:uid="{00000000-0010-0000-0300-00000B000000}" name="Tritter"/>
    <tableColumn id="12" xr3:uid="{00000000-0010-0000-0300-00000C000000}" name="Artefato"/>
    <tableColumn id="13" xr3:uid="{00000000-0010-0000-0300-00000D000000}" name="Bovettus"/>
    <tableColumn id="14" xr3:uid="{00000000-0010-0000-0300-00000E000000}" name="Mettus"/>
    <tableColumn id="15" xr3:uid="{00000000-0010-0000-0300-00000F000000}" name="Bettus"/>
    <tableColumn id="16" xr3:uid="{00000000-0010-0000-0300-000010000000}" name="Aufix"/>
    <tableColumn id="17" xr3:uid="{00000000-0010-0000-0300-000011000000}" name="Mix estrategico"/>
    <tableColumn id="18" xr3:uid="{00000000-0010-0000-0300-000012000000}" name="Score credito produto"/>
    <tableColumn id="19" xr3:uid="{00000000-0010-0000-0300-000013000000}" name="Nivel ORIZON"/>
    <tableColumn id="20" xr3:uid="{00000000-0010-0000-0300-000014000000}" name="Modelo negocio"/>
    <tableColumn id="21" xr3:uid="{00000000-0010-0000-0300-000015000000}" name="Fator maturidade"/>
    <tableColumn id="22" xr3:uid="{00000000-0010-0000-0300-000016000000}" name="Teto politica"/>
    <tableColumn id="23" xr3:uid="{00000000-0010-0000-0300-000017000000}" name="Credito ORIZON recomendado"/>
  </tableColumns>
  <tableStyleInfo name="TableStyleMedium4"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4000000}" name="EspecificacaoClientesTable" displayName="EspecificacaoClientesTable" ref="A4:U49">
  <autoFilter ref="A4:U49" xr:uid="{00000000-0009-0000-0100-000004000000}"/>
  <tableColumns count="21">
    <tableColumn id="1" xr3:uid="{00000000-0010-0000-0400-000001000000}" name="Cliente"/>
    <tableColumn id="2" xr3:uid="{00000000-0010-0000-0400-000002000000}" name="Potencial ORIZON reformulado"/>
    <tableColumn id="3" xr3:uid="{00000000-0010-0000-0400-000003000000}" name="Estagio de adocao"/>
    <tableColumn id="4" xr3:uid="{00000000-0010-0000-0400-000004000000}" name="Nivel ORIZON reformulado"/>
    <tableColumn id="5" xr3:uid="{00000000-0010-0000-0400-000005000000}" name="Modelo de negocio"/>
    <tableColumn id="6" xr3:uid="{00000000-0010-0000-0400-000006000000}" name="Score ORIZON reformulado"/>
    <tableColumn id="7" xr3:uid="{00000000-0010-0000-0400-000007000000}" name="Credito recomendado"/>
    <tableColumn id="8" xr3:uid="{00000000-0010-0000-0400-000008000000}" name="Tecnologia de entrada"/>
    <tableColumn id="9" xr3:uid="{00000000-0010-0000-0400-000009000000}" name="Diretriz de adocao"/>
    <tableColumn id="10" xr3:uid="{00000000-0010-0000-0400-00000A000000}" name="Parceiro indicado"/>
    <tableColumn id="11" xr3:uid="{00000000-0010-0000-0400-00000B000000}" name="Trilha de evolucao"/>
    <tableColumn id="12" xr3:uid="{00000000-0010-0000-0400-00000C000000}" name="Especificacao executiva"/>
    <tableColumn id="13" xr3:uid="{00000000-0010-0000-0400-00000D000000}" name="Governanca"/>
    <tableColumn id="14" xr3:uid="{D5D3A07F-CF35-4301-BE46-1A2316B34E05}" name="Score porte" dataDxfId="11"/>
    <tableColumn id="15" xr3:uid="{FA6428A2-CBBF-46FB-8287-3C260FA922CB}" name="Score prioridade" dataDxfId="10"/>
    <tableColumn id="16" xr3:uid="{FCBF88B2-9E58-4734-A74A-1C027618F514}" name="Score adocao tecnica" dataDxfId="9"/>
    <tableColumn id="17" xr3:uid="{CFE27B6B-0330-4FAE-9721-FA32490F0F4D}" name="Score conversao" dataDxfId="8"/>
    <tableColumn id="18" xr3:uid="{DEEF9ED5-31E8-4001-A330-110A6A7A4F0D}" name="Score fit ORIZON" dataDxfId="7"/>
    <tableColumn id="19" xr3:uid="{2AF289D1-5E81-4CCD-A17F-5CCA307AB05B}" name="Score total" dataDxfId="6"/>
    <tableColumn id="20" xr3:uid="{37DDDCC3-314C-409C-BDDF-897D23D52446}" name="Fila inicial"/>
    <tableColumn id="21" xr3:uid="{0B06E04B-2121-4258-86EF-6E4579A4DEF3}" name="Proxima decisao"/>
  </tableColumns>
  <tableStyleInfo name="TableStyleMedium4"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5000000}" name="PoliticaTable" displayName="PoliticaTable" ref="A4:F8">
  <autoFilter ref="A4:F8" xr:uid="{00000000-0009-0000-0100-000002000000}"/>
  <tableColumns count="6">
    <tableColumn id="1" xr3:uid="{00000000-0010-0000-0500-000001000000}" name="Parametro"/>
    <tableColumn id="2" xr3:uid="{00000000-0010-0000-0500-000002000000}" name="Valor"/>
    <tableColumn id="3" xr3:uid="{00000000-0010-0000-0500-000003000000}" name="Como usar"/>
    <tableColumn id="4" xr3:uid="{00000000-0010-0000-0500-000004000000}" name="Observacao"/>
    <tableColumn id="5" xr3:uid="{00000000-0010-0000-0500-000005000000}" name="Coluna1"/>
    <tableColumn id="6" xr3:uid="{00000000-0010-0000-0500-000006000000}" name="Coluna2"/>
  </tableColumns>
  <tableStyleInfo name="TableStyleMedium4"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6000000}" name="ProdutosPesosTable" displayName="ProdutosPesosTable" ref="A4:G13">
  <autoFilter ref="A4:G13" xr:uid="{00000000-0009-0000-0100-000001000000}"/>
  <tableColumns count="7">
    <tableColumn id="1" xr3:uid="{00000000-0010-0000-0600-000001000000}" name="Produto"/>
    <tableColumn id="2" xr3:uid="{00000000-0010-0000-0600-000002000000}" name="Papel"/>
    <tableColumn id="3" xr3:uid="{00000000-0010-0000-0600-000003000000}" name="Peso ORIZON"/>
    <tableColumn id="4" xr3:uid="{00000000-0010-0000-0600-000004000000}" name="Valor (L ou Kg)"/>
    <tableColumn id="7" xr3:uid="{00000000-0010-0000-0600-000007000000}" name="Dose/ha (L ou Kg)"/>
    <tableColumn id="5" xr3:uid="{00000000-0010-0000-0600-000005000000}" name="Credito por unidade"/>
    <tableColumn id="6" xr3:uid="{00000000-0010-0000-0600-000006000000}" name="Funcao"/>
  </tableColumns>
  <tableStyleInfo name="TableStyleMedium4"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7000000}" name="PipelineMensalTable" displayName="PipelineMensalTable" ref="A4:C16">
  <autoFilter ref="A4:C16" xr:uid="{00000000-0009-0000-0100-000005000000}"/>
  <tableColumns count="3">
    <tableColumn id="1" xr3:uid="{00000000-0010-0000-0700-000001000000}" name="Mes"/>
    <tableColumn id="2" xr3:uid="{00000000-0010-0000-0700-000002000000}" name="Potencial R$"/>
    <tableColumn id="3" xr3:uid="{00000000-0010-0000-0700-000003000000}" name="Participacao"/>
  </tableColumns>
  <tableStyleInfo name="TableStyleMedium4"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8000000}" name="ParceirosOrizonTable" displayName="ParceirosOrizonTable" ref="A4:E10">
  <autoFilter ref="A4:E10" xr:uid="{00000000-0009-0000-0100-000006000000}"/>
  <tableColumns count="5">
    <tableColumn id="1" xr3:uid="{00000000-0010-0000-0800-000001000000}" name="Parceiro"/>
    <tableColumn id="2" xr3:uid="{00000000-0010-0000-0800-000002000000}" name="Papel"/>
    <tableColumn id="3" xr3:uid="{00000000-0010-0000-0800-000003000000}" name="Quando acionar"/>
    <tableColumn id="4" xr3:uid="{00000000-0010-0000-0800-000004000000}" name="Entrega esperada"/>
    <tableColumn id="5" xr3:uid="{00000000-0010-0000-0800-000005000000}" name="Nivel recomendado"/>
  </tableColumns>
  <tableStyleInfo name="TableStyleMedium4"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9000000}" name="AcoesModeloTable" displayName="AcoesModeloTable" ref="A4:E10">
  <autoFilter ref="A4:E10" xr:uid="{00000000-0009-0000-0100-000007000000}"/>
  <tableColumns count="5">
    <tableColumn id="1" xr3:uid="{00000000-0010-0000-0900-000001000000}" name="Modelo de negocio"/>
    <tableColumn id="2" xr3:uid="{00000000-0010-0000-0900-000002000000}" name="Objetivo"/>
    <tableColumn id="3" xr3:uid="{00000000-0010-0000-0900-000003000000}" name="Politica saudavel"/>
    <tableColumn id="4" xr3:uid="{00000000-0010-0000-0900-000004000000}" name="Proxima acao"/>
    <tableColumn id="5" xr3:uid="{00000000-0010-0000-0900-000005000000}" name="Indicador"/>
  </tableColumns>
  <tableStyleInfo name="TableStyleMedium4"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table" Target="../tables/table7.xml"/></Relationships>
</file>

<file path=xl/worksheets/_rels/sheet9.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9"/>
  <sheetViews>
    <sheetView showGridLines="0" workbookViewId="0">
      <selection sqref="A1:M1"/>
    </sheetView>
  </sheetViews>
  <sheetFormatPr defaultRowHeight="13.8"/>
  <cols>
    <col min="1" max="1" width="67.69921875" customWidth="1"/>
    <col min="2" max="2" width="11.19921875" customWidth="1"/>
    <col min="4" max="4" width="14.3984375" customWidth="1"/>
    <col min="5" max="5" width="6.59765625" customWidth="1"/>
    <col min="6" max="6" width="10" customWidth="1"/>
    <col min="7" max="7" width="17.09765625" customWidth="1"/>
    <col min="8" max="8" width="29.5" customWidth="1"/>
    <col min="9" max="9" width="28.3984375" customWidth="1"/>
    <col min="10" max="10" width="6.59765625" customWidth="1"/>
    <col min="11" max="11" width="10" customWidth="1"/>
    <col min="12" max="12" width="7.5" customWidth="1"/>
    <col min="13" max="13" width="21.19921875" customWidth="1"/>
  </cols>
  <sheetData>
    <row r="1" spans="1:13">
      <c r="A1" s="35" t="s">
        <v>0</v>
      </c>
      <c r="B1" s="36"/>
      <c r="C1" s="36"/>
      <c r="D1" s="36"/>
      <c r="E1" s="36"/>
      <c r="F1" s="36"/>
      <c r="G1" s="36"/>
      <c r="H1" s="36"/>
      <c r="I1" s="36"/>
      <c r="J1" s="36"/>
      <c r="K1" s="36"/>
      <c r="L1" s="36"/>
      <c r="M1" s="34"/>
    </row>
    <row r="2" spans="1:13">
      <c r="A2" s="37" t="s">
        <v>1</v>
      </c>
      <c r="B2" s="36"/>
      <c r="C2" s="36"/>
      <c r="D2" s="36"/>
      <c r="E2" s="36"/>
      <c r="F2" s="36"/>
      <c r="G2" s="36"/>
      <c r="H2" s="36"/>
      <c r="I2" s="36"/>
      <c r="J2" s="36"/>
      <c r="K2" s="36"/>
      <c r="L2" s="36"/>
      <c r="M2" s="34"/>
    </row>
    <row r="3" spans="1:13">
      <c r="A3" s="4"/>
      <c r="B3" s="4"/>
      <c r="C3" s="4"/>
      <c r="D3" s="4"/>
      <c r="E3" s="4"/>
      <c r="F3" s="4"/>
      <c r="G3" s="4"/>
      <c r="H3" s="4"/>
      <c r="I3" s="4"/>
      <c r="J3" s="4"/>
      <c r="K3" s="4"/>
      <c r="L3" s="4"/>
    </row>
    <row r="4" spans="1:13" ht="27.6">
      <c r="A4" s="3" t="s">
        <v>2</v>
      </c>
      <c r="B4" s="3" t="s">
        <v>3</v>
      </c>
      <c r="C4" s="4"/>
      <c r="D4" s="1" t="s">
        <v>4</v>
      </c>
      <c r="E4" s="1" t="s">
        <v>5</v>
      </c>
      <c r="F4" s="1" t="s">
        <v>6</v>
      </c>
      <c r="G4" s="1" t="s">
        <v>7</v>
      </c>
      <c r="H4" s="4"/>
      <c r="I4" s="3" t="s">
        <v>8</v>
      </c>
      <c r="J4" s="3" t="s">
        <v>5</v>
      </c>
      <c r="K4" s="3" t="s">
        <v>6</v>
      </c>
      <c r="L4" s="3" t="s">
        <v>9</v>
      </c>
    </row>
    <row r="5" spans="1:13">
      <c r="A5" s="4" t="s">
        <v>10</v>
      </c>
      <c r="B5" s="4">
        <v>45</v>
      </c>
      <c r="C5" s="4"/>
      <c r="D5" s="4" t="s">
        <v>11</v>
      </c>
      <c r="E5" s="4">
        <v>17</v>
      </c>
      <c r="F5" s="25">
        <v>40.235294117647058</v>
      </c>
      <c r="G5" s="5">
        <v>1840</v>
      </c>
      <c r="H5" s="4"/>
      <c r="I5" s="4" t="s">
        <v>12</v>
      </c>
      <c r="J5" s="4">
        <v>14</v>
      </c>
      <c r="K5" s="25">
        <v>92.785714285714292</v>
      </c>
      <c r="L5" s="5">
        <v>403312.5</v>
      </c>
    </row>
    <row r="6" spans="1:13" ht="27.6">
      <c r="A6" s="4" t="s">
        <v>13</v>
      </c>
      <c r="B6" s="6">
        <v>3956005</v>
      </c>
      <c r="C6" s="4"/>
      <c r="D6" s="4" t="s">
        <v>14</v>
      </c>
      <c r="E6" s="4">
        <v>5</v>
      </c>
      <c r="F6" s="25">
        <v>63.8</v>
      </c>
      <c r="G6" s="5">
        <v>28840</v>
      </c>
      <c r="H6" s="4"/>
      <c r="I6" s="4" t="s">
        <v>15</v>
      </c>
      <c r="J6" s="4">
        <v>9</v>
      </c>
      <c r="K6" s="25">
        <v>77.777777777777771</v>
      </c>
      <c r="L6" s="5">
        <v>116133</v>
      </c>
    </row>
    <row r="7" spans="1:13">
      <c r="A7" s="4" t="s">
        <v>16</v>
      </c>
      <c r="B7" s="25">
        <v>66.711111111111109</v>
      </c>
      <c r="C7" s="4"/>
      <c r="D7" s="4" t="s">
        <v>17</v>
      </c>
      <c r="E7" s="4">
        <v>9</v>
      </c>
      <c r="F7" s="25">
        <v>77.777777777777771</v>
      </c>
      <c r="G7" s="5">
        <v>116133</v>
      </c>
      <c r="H7" s="4"/>
      <c r="I7" s="4" t="s">
        <v>18</v>
      </c>
      <c r="J7" s="4">
        <v>5</v>
      </c>
      <c r="K7" s="25">
        <v>63.8</v>
      </c>
      <c r="L7" s="5">
        <v>28840</v>
      </c>
    </row>
    <row r="8" spans="1:13" ht="27.6">
      <c r="A8" s="4" t="s">
        <v>7</v>
      </c>
      <c r="B8" s="5">
        <v>550125.5</v>
      </c>
      <c r="C8" s="4"/>
      <c r="D8" s="4" t="s">
        <v>19</v>
      </c>
      <c r="E8" s="4">
        <v>14</v>
      </c>
      <c r="F8" s="25">
        <v>92.785714285714292</v>
      </c>
      <c r="G8" s="5">
        <v>403312.5</v>
      </c>
      <c r="H8" s="4"/>
      <c r="I8" s="4" t="s">
        <v>20</v>
      </c>
      <c r="J8" s="4">
        <v>17</v>
      </c>
      <c r="K8" s="25">
        <v>40.235294117647058</v>
      </c>
      <c r="L8" s="5">
        <v>1840</v>
      </c>
    </row>
    <row r="9" spans="1:13">
      <c r="A9" s="4" t="s">
        <v>21</v>
      </c>
      <c r="B9" s="4">
        <v>23</v>
      </c>
      <c r="C9" s="4"/>
      <c r="D9" s="17" t="s">
        <v>22</v>
      </c>
      <c r="E9" s="17">
        <v>45</v>
      </c>
      <c r="F9" s="26">
        <v>66.711111111111109</v>
      </c>
      <c r="G9" s="27">
        <v>550125.5</v>
      </c>
      <c r="I9" s="17" t="s">
        <v>23</v>
      </c>
      <c r="J9" s="17">
        <v>45</v>
      </c>
      <c r="K9" s="26">
        <v>66.711111111111109</v>
      </c>
      <c r="L9" s="27">
        <v>550125.5</v>
      </c>
    </row>
    <row r="10" spans="1:13">
      <c r="A10" s="4" t="s">
        <v>24</v>
      </c>
      <c r="B10" s="5">
        <v>14</v>
      </c>
      <c r="C10" s="4"/>
    </row>
    <row r="11" spans="1:13">
      <c r="A11" s="4"/>
      <c r="B11" s="4"/>
      <c r="C11" s="4"/>
    </row>
    <row r="12" spans="1:13">
      <c r="A12" s="2" t="s">
        <v>25</v>
      </c>
      <c r="B12" s="2" t="s">
        <v>3</v>
      </c>
      <c r="C12" s="4"/>
    </row>
    <row r="13" spans="1:13">
      <c r="A13" s="4" t="s">
        <v>26</v>
      </c>
      <c r="B13" s="5">
        <v>47410250</v>
      </c>
      <c r="C13" s="4"/>
    </row>
    <row r="14" spans="1:13">
      <c r="A14" s="4" t="s">
        <v>27</v>
      </c>
      <c r="B14" s="5">
        <v>50179432.600000001</v>
      </c>
      <c r="C14" s="4"/>
    </row>
    <row r="15" spans="1:13">
      <c r="A15" s="4" t="s">
        <v>28</v>
      </c>
      <c r="B15" s="6">
        <v>463810</v>
      </c>
      <c r="C15" s="4"/>
    </row>
    <row r="16" spans="1:13">
      <c r="A16" s="4" t="s">
        <v>29</v>
      </c>
      <c r="B16" s="5">
        <v>2979620</v>
      </c>
      <c r="C16" s="4"/>
    </row>
    <row r="17" spans="1:3">
      <c r="A17" s="4" t="s">
        <v>30</v>
      </c>
      <c r="B17" s="5">
        <v>174000</v>
      </c>
      <c r="C17" s="4"/>
    </row>
    <row r="18" spans="1:3">
      <c r="A18" s="4" t="s">
        <v>31</v>
      </c>
      <c r="B18" s="5">
        <v>158500</v>
      </c>
      <c r="C18" s="4"/>
    </row>
    <row r="19" spans="1:3">
      <c r="A19" s="4"/>
      <c r="B19" s="4"/>
      <c r="C19" s="4"/>
    </row>
  </sheetData>
  <mergeCells count="2">
    <mergeCell ref="A1:M1"/>
    <mergeCell ref="A2:M2"/>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22"/>
  <sheetViews>
    <sheetView showGridLines="0" workbookViewId="0">
      <selection sqref="A1:M1"/>
    </sheetView>
  </sheetViews>
  <sheetFormatPr defaultRowHeight="13.8"/>
  <cols>
    <col min="1" max="1" width="26.19921875" customWidth="1"/>
    <col min="2" max="2" width="21.19921875" customWidth="1"/>
    <col min="3" max="3" width="23.69921875" customWidth="1"/>
    <col min="4" max="5" width="28.69921875" customWidth="1"/>
    <col min="6" max="6" width="22.5" customWidth="1"/>
  </cols>
  <sheetData>
    <row r="1" spans="1:13">
      <c r="A1" s="35" t="s">
        <v>32</v>
      </c>
      <c r="B1" s="36"/>
      <c r="C1" s="36"/>
      <c r="D1" s="36"/>
      <c r="E1" s="36"/>
      <c r="F1" s="36"/>
      <c r="G1" s="34"/>
      <c r="H1" s="34"/>
      <c r="I1" s="34"/>
      <c r="J1" s="34"/>
      <c r="K1" s="34"/>
      <c r="L1" s="34"/>
      <c r="M1" s="34"/>
    </row>
    <row r="2" spans="1:13">
      <c r="A2" s="37" t="s">
        <v>33</v>
      </c>
      <c r="B2" s="36"/>
      <c r="C2" s="36"/>
      <c r="D2" s="36"/>
      <c r="E2" s="36"/>
      <c r="F2" s="36"/>
      <c r="G2" s="34"/>
      <c r="H2" s="34"/>
      <c r="I2" s="34"/>
      <c r="J2" s="34"/>
      <c r="K2" s="34"/>
      <c r="L2" s="34"/>
      <c r="M2" s="34"/>
    </row>
    <row r="3" spans="1:13">
      <c r="A3" s="4"/>
      <c r="B3" s="4"/>
      <c r="C3" s="4"/>
      <c r="D3" s="4"/>
      <c r="E3" s="4"/>
      <c r="F3" s="4"/>
    </row>
    <row r="4" spans="1:13">
      <c r="A4" s="1" t="s">
        <v>34</v>
      </c>
      <c r="B4" s="1" t="s">
        <v>35</v>
      </c>
      <c r="C4" s="1" t="s">
        <v>36</v>
      </c>
      <c r="D4" s="1" t="s">
        <v>37</v>
      </c>
      <c r="E4" s="1" t="s">
        <v>38</v>
      </c>
      <c r="F4" s="1" t="s">
        <v>2</v>
      </c>
    </row>
    <row r="5" spans="1:13" ht="41.4">
      <c r="A5" s="4" t="s">
        <v>39</v>
      </c>
      <c r="B5" s="4" t="s">
        <v>40</v>
      </c>
      <c r="C5" s="4" t="s">
        <v>41</v>
      </c>
      <c r="D5" s="4" t="s">
        <v>42</v>
      </c>
      <c r="E5" s="4" t="s">
        <v>43</v>
      </c>
      <c r="F5" s="4" t="s">
        <v>44</v>
      </c>
    </row>
    <row r="6" spans="1:13" ht="41.4">
      <c r="A6" s="4" t="s">
        <v>45</v>
      </c>
      <c r="B6" s="4" t="s">
        <v>46</v>
      </c>
      <c r="C6" s="4" t="s">
        <v>47</v>
      </c>
      <c r="D6" s="4" t="s">
        <v>48</v>
      </c>
      <c r="E6" s="4" t="s">
        <v>49</v>
      </c>
      <c r="F6" s="4" t="s">
        <v>50</v>
      </c>
    </row>
    <row r="7" spans="1:13" ht="41.4">
      <c r="A7" s="4" t="s">
        <v>51</v>
      </c>
      <c r="B7" s="4" t="s">
        <v>52</v>
      </c>
      <c r="C7" s="4" t="s">
        <v>53</v>
      </c>
      <c r="D7" s="4" t="s">
        <v>54</v>
      </c>
      <c r="E7" s="4" t="s">
        <v>55</v>
      </c>
      <c r="F7" s="4" t="s">
        <v>56</v>
      </c>
    </row>
    <row r="8" spans="1:13" ht="41.4">
      <c r="A8" s="4" t="s">
        <v>57</v>
      </c>
      <c r="B8" s="4" t="s">
        <v>58</v>
      </c>
      <c r="C8" s="4" t="s">
        <v>59</v>
      </c>
      <c r="D8" s="4" t="s">
        <v>60</v>
      </c>
      <c r="E8" s="4" t="s">
        <v>61</v>
      </c>
      <c r="F8" s="4" t="s">
        <v>62</v>
      </c>
    </row>
    <row r="9" spans="1:13" ht="41.4">
      <c r="A9" s="4" t="s">
        <v>63</v>
      </c>
      <c r="B9" s="4" t="s">
        <v>64</v>
      </c>
      <c r="C9" s="4" t="s">
        <v>65</v>
      </c>
      <c r="D9" s="4" t="s">
        <v>66</v>
      </c>
      <c r="E9" s="4" t="s">
        <v>67</v>
      </c>
      <c r="F9" s="4" t="s">
        <v>68</v>
      </c>
    </row>
    <row r="10" spans="1:13" ht="27.6">
      <c r="A10" s="4" t="s">
        <v>69</v>
      </c>
      <c r="B10" s="4" t="s">
        <v>70</v>
      </c>
      <c r="C10" s="4" t="s">
        <v>71</v>
      </c>
      <c r="D10" s="4" t="s">
        <v>72</v>
      </c>
      <c r="E10" s="4" t="s">
        <v>73</v>
      </c>
      <c r="F10" s="4" t="s">
        <v>74</v>
      </c>
    </row>
    <row r="11" spans="1:13" ht="27.6">
      <c r="A11" s="4" t="s">
        <v>75</v>
      </c>
      <c r="B11" s="4" t="s">
        <v>76</v>
      </c>
      <c r="C11" s="4" t="s">
        <v>77</v>
      </c>
      <c r="D11" s="4" t="s">
        <v>78</v>
      </c>
      <c r="E11" s="4" t="s">
        <v>79</v>
      </c>
      <c r="F11" s="4" t="s">
        <v>80</v>
      </c>
    </row>
    <row r="12" spans="1:13" ht="27.6">
      <c r="A12" s="4" t="s">
        <v>81</v>
      </c>
      <c r="B12" s="4" t="s">
        <v>82</v>
      </c>
      <c r="C12" s="4" t="s">
        <v>83</v>
      </c>
      <c r="D12" s="4" t="s">
        <v>84</v>
      </c>
      <c r="E12" s="4" t="s">
        <v>85</v>
      </c>
      <c r="F12" s="4" t="s">
        <v>86</v>
      </c>
    </row>
    <row r="13" spans="1:13">
      <c r="A13" s="4"/>
      <c r="B13" s="4"/>
      <c r="C13" s="4"/>
      <c r="D13" s="4"/>
      <c r="E13" s="4"/>
      <c r="F13" s="4"/>
    </row>
    <row r="14" spans="1:13">
      <c r="A14" s="4"/>
      <c r="B14" s="4"/>
      <c r="C14" s="4"/>
      <c r="D14" s="4"/>
      <c r="E14" s="4"/>
      <c r="F14" s="4"/>
    </row>
    <row r="15" spans="1:13">
      <c r="A15" s="2" t="s">
        <v>87</v>
      </c>
      <c r="B15" s="2" t="s">
        <v>88</v>
      </c>
      <c r="C15" s="2" t="s">
        <v>89</v>
      </c>
      <c r="D15" s="2" t="s">
        <v>90</v>
      </c>
      <c r="E15" s="2" t="s">
        <v>91</v>
      </c>
      <c r="F15" s="2" t="s">
        <v>92</v>
      </c>
    </row>
    <row r="16" spans="1:13" ht="27.6">
      <c r="A16" s="4" t="s">
        <v>93</v>
      </c>
      <c r="B16" s="6">
        <v>60</v>
      </c>
      <c r="C16" s="5">
        <v>900</v>
      </c>
      <c r="D16" s="5">
        <v>54000</v>
      </c>
      <c r="E16" s="4" t="s">
        <v>94</v>
      </c>
      <c r="F16" s="4" t="s">
        <v>95</v>
      </c>
    </row>
    <row r="17" spans="1:6" ht="27.6">
      <c r="A17" s="4" t="s">
        <v>96</v>
      </c>
      <c r="B17" s="6">
        <v>24</v>
      </c>
      <c r="C17" s="5">
        <v>5000</v>
      </c>
      <c r="D17" s="5">
        <v>120000</v>
      </c>
      <c r="E17" s="4" t="s">
        <v>94</v>
      </c>
      <c r="F17" s="4" t="s">
        <v>97</v>
      </c>
    </row>
    <row r="18" spans="1:6" ht="27.6">
      <c r="A18" s="4" t="s">
        <v>98</v>
      </c>
      <c r="B18" s="4"/>
      <c r="C18" s="5"/>
      <c r="D18" s="5">
        <v>174000</v>
      </c>
      <c r="E18" s="4" t="s">
        <v>94</v>
      </c>
      <c r="F18" s="4" t="s">
        <v>99</v>
      </c>
    </row>
    <row r="19" spans="1:6" ht="27.6">
      <c r="A19" s="4" t="s">
        <v>100</v>
      </c>
      <c r="B19" s="4"/>
      <c r="C19" s="5"/>
      <c r="D19" s="5">
        <v>317000</v>
      </c>
      <c r="E19" s="4" t="s">
        <v>101</v>
      </c>
      <c r="F19" s="4" t="s">
        <v>102</v>
      </c>
    </row>
    <row r="20" spans="1:6" ht="27.6">
      <c r="A20" s="4" t="s">
        <v>103</v>
      </c>
      <c r="B20" s="7">
        <v>0.5</v>
      </c>
      <c r="C20" s="5"/>
      <c r="D20" s="5">
        <v>158500</v>
      </c>
      <c r="E20" s="4" t="s">
        <v>101</v>
      </c>
      <c r="F20" s="4" t="s">
        <v>104</v>
      </c>
    </row>
    <row r="21" spans="1:6" ht="27.6">
      <c r="A21" s="4" t="s">
        <v>105</v>
      </c>
      <c r="B21" s="4"/>
      <c r="C21" s="5"/>
      <c r="D21" s="5">
        <v>2979620</v>
      </c>
      <c r="E21" s="4" t="s">
        <v>106</v>
      </c>
      <c r="F21" s="4" t="s">
        <v>107</v>
      </c>
    </row>
    <row r="22" spans="1:6" ht="27.6">
      <c r="A22" s="4" t="s">
        <v>108</v>
      </c>
      <c r="B22" s="4"/>
      <c r="C22" s="5"/>
      <c r="D22" s="5">
        <v>2647120</v>
      </c>
      <c r="E22" s="4" t="s">
        <v>109</v>
      </c>
      <c r="F22" s="4" t="s">
        <v>110</v>
      </c>
    </row>
  </sheetData>
  <mergeCells count="2">
    <mergeCell ref="A1:M1"/>
    <mergeCell ref="A2:M2"/>
  </mergeCell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20"/>
  <sheetViews>
    <sheetView showGridLines="0" workbookViewId="0">
      <selection sqref="A1:M1"/>
    </sheetView>
  </sheetViews>
  <sheetFormatPr defaultRowHeight="13.8"/>
  <cols>
    <col min="1" max="1" width="16.19921875" customWidth="1"/>
    <col min="2" max="2" width="15" customWidth="1"/>
    <col min="3" max="3" width="13.69921875" customWidth="1"/>
    <col min="4" max="4" width="16.19921875" customWidth="1"/>
    <col min="5" max="5" width="15" customWidth="1"/>
    <col min="6" max="6" width="18.69921875" customWidth="1"/>
    <col min="7" max="7" width="15" customWidth="1"/>
    <col min="8" max="9" width="18.69921875" customWidth="1"/>
    <col min="10" max="10" width="20" customWidth="1"/>
  </cols>
  <sheetData>
    <row r="1" spans="1:13">
      <c r="A1" s="35" t="s">
        <v>111</v>
      </c>
      <c r="B1" s="36"/>
      <c r="C1" s="36"/>
      <c r="D1" s="36"/>
      <c r="E1" s="36"/>
      <c r="F1" s="36"/>
      <c r="G1" s="36"/>
      <c r="H1" s="36"/>
      <c r="I1" s="36"/>
      <c r="J1" s="36"/>
      <c r="K1" s="34"/>
      <c r="L1" s="34"/>
      <c r="M1" s="34"/>
    </row>
    <row r="2" spans="1:13">
      <c r="A2" s="37" t="s">
        <v>112</v>
      </c>
      <c r="B2" s="36"/>
      <c r="C2" s="36"/>
      <c r="D2" s="36"/>
      <c r="E2" s="36"/>
      <c r="F2" s="36"/>
      <c r="G2" s="36"/>
      <c r="H2" s="36"/>
      <c r="I2" s="36"/>
      <c r="J2" s="36"/>
      <c r="K2" s="34"/>
      <c r="L2" s="34"/>
      <c r="M2" s="34"/>
    </row>
    <row r="3" spans="1:13">
      <c r="A3" s="4"/>
      <c r="B3" s="4"/>
      <c r="C3" s="4"/>
      <c r="D3" s="4"/>
      <c r="E3" s="4"/>
      <c r="F3" s="4"/>
      <c r="G3" s="4"/>
      <c r="H3" s="4"/>
      <c r="I3" s="4"/>
      <c r="J3" s="4"/>
    </row>
    <row r="4" spans="1:13">
      <c r="A4" s="2" t="s">
        <v>113</v>
      </c>
      <c r="B4" s="2" t="s">
        <v>114</v>
      </c>
      <c r="C4" s="2" t="s">
        <v>115</v>
      </c>
      <c r="D4" s="2" t="s">
        <v>28</v>
      </c>
      <c r="E4" s="2" t="s">
        <v>116</v>
      </c>
      <c r="F4" s="2" t="s">
        <v>117</v>
      </c>
      <c r="G4" s="2" t="s">
        <v>118</v>
      </c>
      <c r="H4" s="2" t="s">
        <v>119</v>
      </c>
      <c r="I4" s="2" t="s">
        <v>120</v>
      </c>
      <c r="J4" s="2" t="s">
        <v>121</v>
      </c>
    </row>
    <row r="5" spans="1:13">
      <c r="A5" s="4" t="s">
        <v>122</v>
      </c>
      <c r="B5" s="6">
        <v>270000</v>
      </c>
      <c r="C5" s="8">
        <v>0.3</v>
      </c>
      <c r="D5" s="6">
        <v>81000</v>
      </c>
      <c r="E5" s="5">
        <v>22</v>
      </c>
      <c r="F5" s="5">
        <v>1782000</v>
      </c>
      <c r="G5" s="5">
        <v>24.21</v>
      </c>
      <c r="H5" s="5">
        <v>1961010</v>
      </c>
      <c r="I5" s="5">
        <v>324000</v>
      </c>
      <c r="J5" s="4" t="s">
        <v>123</v>
      </c>
    </row>
    <row r="6" spans="1:13">
      <c r="A6" s="4" t="s">
        <v>124</v>
      </c>
      <c r="B6" s="6">
        <v>270000</v>
      </c>
      <c r="C6" s="8">
        <v>0.25</v>
      </c>
      <c r="D6" s="6">
        <v>67500</v>
      </c>
      <c r="E6" s="5">
        <v>220.5</v>
      </c>
      <c r="F6" s="5">
        <v>14883750</v>
      </c>
      <c r="G6" s="5">
        <v>234.5</v>
      </c>
      <c r="H6" s="5">
        <v>15828750</v>
      </c>
      <c r="I6" s="5">
        <v>675000</v>
      </c>
      <c r="J6" s="4" t="s">
        <v>125</v>
      </c>
    </row>
    <row r="7" spans="1:13">
      <c r="A7" s="4" t="s">
        <v>126</v>
      </c>
      <c r="B7" s="6">
        <v>270000</v>
      </c>
      <c r="C7" s="8">
        <v>0.2</v>
      </c>
      <c r="D7" s="6">
        <v>54000</v>
      </c>
      <c r="E7" s="5">
        <v>180</v>
      </c>
      <c r="F7" s="5">
        <v>9720000</v>
      </c>
      <c r="G7" s="5">
        <v>190</v>
      </c>
      <c r="H7" s="5">
        <v>10260000</v>
      </c>
      <c r="I7" s="5">
        <v>432000</v>
      </c>
      <c r="J7" s="4" t="s">
        <v>125</v>
      </c>
    </row>
    <row r="8" spans="1:13">
      <c r="A8" s="4" t="s">
        <v>127</v>
      </c>
      <c r="B8" s="6">
        <v>270000</v>
      </c>
      <c r="C8" s="8">
        <v>0.3</v>
      </c>
      <c r="D8" s="6">
        <v>81000</v>
      </c>
      <c r="E8" s="5">
        <v>70</v>
      </c>
      <c r="F8" s="5">
        <v>5670000</v>
      </c>
      <c r="G8" s="5">
        <v>73.680000000000007</v>
      </c>
      <c r="H8" s="5">
        <v>5968080</v>
      </c>
      <c r="I8" s="5">
        <v>324000</v>
      </c>
      <c r="J8" s="4" t="s">
        <v>123</v>
      </c>
    </row>
    <row r="9" spans="1:13">
      <c r="A9" s="4" t="s">
        <v>128</v>
      </c>
      <c r="B9" s="6">
        <v>270000</v>
      </c>
      <c r="C9" s="8">
        <v>0.4</v>
      </c>
      <c r="D9" s="6">
        <v>108000</v>
      </c>
      <c r="E9" s="5">
        <v>80</v>
      </c>
      <c r="F9" s="5">
        <v>8640000</v>
      </c>
      <c r="G9" s="5">
        <v>84.2</v>
      </c>
      <c r="H9" s="5">
        <v>9093600</v>
      </c>
      <c r="I9" s="5">
        <v>1080000</v>
      </c>
      <c r="J9" s="4" t="s">
        <v>125</v>
      </c>
    </row>
    <row r="10" spans="1:13">
      <c r="A10" s="4" t="s">
        <v>129</v>
      </c>
      <c r="B10" s="6">
        <v>206600</v>
      </c>
      <c r="C10" s="8">
        <v>0.15</v>
      </c>
      <c r="D10" s="6">
        <v>30990</v>
      </c>
      <c r="E10" s="5">
        <v>90</v>
      </c>
      <c r="F10" s="5">
        <v>2789100</v>
      </c>
      <c r="G10" s="5">
        <v>94.74</v>
      </c>
      <c r="H10" s="5">
        <v>2935992.6</v>
      </c>
      <c r="I10" s="5">
        <v>61980</v>
      </c>
      <c r="J10" s="4" t="s">
        <v>130</v>
      </c>
    </row>
    <row r="11" spans="1:13">
      <c r="A11" s="4" t="s">
        <v>131</v>
      </c>
      <c r="B11" s="6">
        <v>206600</v>
      </c>
      <c r="C11" s="8">
        <v>0.2</v>
      </c>
      <c r="D11" s="6">
        <v>41320</v>
      </c>
      <c r="E11" s="5">
        <v>95</v>
      </c>
      <c r="F11" s="5">
        <v>3925400</v>
      </c>
      <c r="G11" s="5">
        <v>100</v>
      </c>
      <c r="H11" s="5">
        <v>4132000</v>
      </c>
      <c r="I11" s="5">
        <v>82640</v>
      </c>
      <c r="J11" s="4" t="s">
        <v>130</v>
      </c>
    </row>
    <row r="12" spans="1:13">
      <c r="A12" s="4" t="s">
        <v>132</v>
      </c>
      <c r="B12" s="4"/>
      <c r="C12" s="4"/>
      <c r="D12" s="6">
        <v>463810</v>
      </c>
      <c r="E12" s="5"/>
      <c r="F12" s="5">
        <v>47410250</v>
      </c>
      <c r="G12" s="5"/>
      <c r="H12" s="5">
        <v>50179432.600000001</v>
      </c>
      <c r="I12" s="5">
        <v>2979620</v>
      </c>
      <c r="J12" s="4" t="s">
        <v>133</v>
      </c>
    </row>
    <row r="13" spans="1:13">
      <c r="A13" s="4"/>
      <c r="B13" s="4"/>
      <c r="C13" s="4"/>
      <c r="D13" s="4"/>
      <c r="E13" s="4"/>
      <c r="F13" s="4"/>
      <c r="G13" s="4"/>
      <c r="H13" s="4"/>
      <c r="I13" s="4"/>
      <c r="J13" s="4"/>
    </row>
    <row r="14" spans="1:13">
      <c r="A14" s="4"/>
      <c r="B14" s="4"/>
      <c r="C14" s="4"/>
      <c r="D14" s="4"/>
      <c r="E14" s="4"/>
      <c r="F14" s="4"/>
      <c r="G14" s="4"/>
      <c r="H14" s="4"/>
      <c r="I14" s="4"/>
      <c r="J14" s="4"/>
    </row>
    <row r="15" spans="1:13" ht="27.6">
      <c r="A15" s="3" t="s">
        <v>134</v>
      </c>
      <c r="B15" s="3" t="s">
        <v>3</v>
      </c>
      <c r="C15" s="3" t="s">
        <v>135</v>
      </c>
      <c r="D15" s="4"/>
      <c r="E15" s="4"/>
      <c r="F15" s="4"/>
      <c r="G15" s="4"/>
      <c r="H15" s="4"/>
      <c r="I15" s="4"/>
      <c r="J15" s="4"/>
    </row>
    <row r="16" spans="1:13" ht="41.4">
      <c r="A16" s="4" t="s">
        <v>26</v>
      </c>
      <c r="B16" s="5">
        <v>47410250</v>
      </c>
      <c r="C16" s="4" t="s">
        <v>136</v>
      </c>
      <c r="D16" s="4"/>
      <c r="E16" s="4"/>
      <c r="F16" s="4"/>
      <c r="G16" s="4"/>
      <c r="H16" s="4"/>
      <c r="I16" s="4"/>
      <c r="J16" s="4"/>
    </row>
    <row r="17" spans="1:10" ht="69">
      <c r="A17" s="4" t="s">
        <v>27</v>
      </c>
      <c r="B17" s="5">
        <v>50179432.600000001</v>
      </c>
      <c r="C17" s="4" t="s">
        <v>137</v>
      </c>
      <c r="D17" s="4"/>
      <c r="E17" s="4"/>
      <c r="F17" s="4"/>
      <c r="G17" s="4"/>
      <c r="H17" s="4"/>
      <c r="I17" s="4"/>
      <c r="J17" s="4"/>
    </row>
    <row r="18" spans="1:10" ht="55.2">
      <c r="A18" s="4" t="s">
        <v>28</v>
      </c>
      <c r="B18" s="6">
        <v>463810</v>
      </c>
      <c r="C18" s="4" t="s">
        <v>138</v>
      </c>
      <c r="D18" s="4"/>
      <c r="E18" s="4"/>
      <c r="F18" s="4"/>
      <c r="G18" s="4"/>
      <c r="H18" s="4"/>
      <c r="I18" s="4"/>
      <c r="J18" s="4"/>
    </row>
    <row r="19" spans="1:10" ht="55.2">
      <c r="A19" s="4" t="s">
        <v>139</v>
      </c>
      <c r="B19" s="5">
        <v>2979620</v>
      </c>
      <c r="C19" s="4" t="s">
        <v>140</v>
      </c>
      <c r="D19" s="4"/>
      <c r="E19" s="4"/>
      <c r="F19" s="4"/>
      <c r="G19" s="4"/>
      <c r="H19" s="4"/>
      <c r="I19" s="4"/>
      <c r="J19" s="4"/>
    </row>
    <row r="20" spans="1:10" ht="55.2">
      <c r="A20" s="4" t="s">
        <v>141</v>
      </c>
      <c r="B20" s="4" t="s">
        <v>142</v>
      </c>
      <c r="C20" s="4" t="s">
        <v>143</v>
      </c>
      <c r="D20" s="4"/>
      <c r="E20" s="4"/>
      <c r="F20" s="4"/>
      <c r="G20" s="4"/>
      <c r="H20" s="4"/>
      <c r="I20" s="4"/>
      <c r="J20" s="4"/>
    </row>
  </sheetData>
  <mergeCells count="2">
    <mergeCell ref="A1:M1"/>
    <mergeCell ref="A2:M2"/>
  </mergeCell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M13"/>
  <sheetViews>
    <sheetView showGridLines="0" workbookViewId="0">
      <selection sqref="A1:M1"/>
    </sheetView>
  </sheetViews>
  <sheetFormatPr defaultRowHeight="13.8"/>
  <cols>
    <col min="1" max="1" width="18.69921875" customWidth="1"/>
    <col min="2" max="2" width="25" customWidth="1"/>
    <col min="3" max="3" width="31.19921875" customWidth="1"/>
    <col min="4" max="4" width="32.5" customWidth="1"/>
    <col min="5" max="5" width="28.69921875" customWidth="1"/>
    <col min="6" max="6" width="22.5" customWidth="1"/>
  </cols>
  <sheetData>
    <row r="1" spans="1:13">
      <c r="A1" s="35" t="s">
        <v>144</v>
      </c>
      <c r="B1" s="36"/>
      <c r="C1" s="36"/>
      <c r="D1" s="36"/>
      <c r="E1" s="36"/>
      <c r="F1" s="36"/>
      <c r="G1" s="34"/>
      <c r="H1" s="34"/>
      <c r="I1" s="34"/>
      <c r="J1" s="34"/>
      <c r="K1" s="34"/>
      <c r="L1" s="34"/>
      <c r="M1" s="34"/>
    </row>
    <row r="2" spans="1:13">
      <c r="A2" s="37" t="s">
        <v>145</v>
      </c>
      <c r="B2" s="36"/>
      <c r="C2" s="36"/>
      <c r="D2" s="36"/>
      <c r="E2" s="36"/>
      <c r="F2" s="36"/>
      <c r="G2" s="34"/>
      <c r="H2" s="34"/>
      <c r="I2" s="34"/>
      <c r="J2" s="34"/>
      <c r="K2" s="34"/>
      <c r="L2" s="34"/>
      <c r="M2" s="34"/>
    </row>
    <row r="3" spans="1:13">
      <c r="A3" s="4"/>
      <c r="B3" s="4"/>
      <c r="C3" s="4"/>
      <c r="D3" s="4"/>
      <c r="E3" s="4"/>
      <c r="F3" s="4"/>
    </row>
    <row r="4" spans="1:13">
      <c r="A4" s="1" t="s">
        <v>146</v>
      </c>
      <c r="B4" s="1" t="s">
        <v>147</v>
      </c>
      <c r="C4" s="1" t="s">
        <v>148</v>
      </c>
      <c r="D4" s="1" t="s">
        <v>149</v>
      </c>
      <c r="E4" s="1" t="s">
        <v>150</v>
      </c>
      <c r="F4" s="1" t="s">
        <v>151</v>
      </c>
    </row>
    <row r="5" spans="1:13" ht="27.6">
      <c r="A5" s="4" t="s">
        <v>152</v>
      </c>
      <c r="B5" s="4" t="s">
        <v>153</v>
      </c>
      <c r="C5" s="4" t="s">
        <v>154</v>
      </c>
      <c r="D5" s="4" t="s">
        <v>155</v>
      </c>
      <c r="E5" s="4" t="s">
        <v>156</v>
      </c>
      <c r="F5" s="4" t="s">
        <v>157</v>
      </c>
    </row>
    <row r="6" spans="1:13" ht="27.6">
      <c r="A6" s="4" t="s">
        <v>158</v>
      </c>
      <c r="B6" s="4" t="s">
        <v>159</v>
      </c>
      <c r="C6" s="4" t="s">
        <v>160</v>
      </c>
      <c r="D6" s="4" t="s">
        <v>161</v>
      </c>
      <c r="E6" s="4" t="s">
        <v>162</v>
      </c>
      <c r="F6" s="4" t="s">
        <v>163</v>
      </c>
    </row>
    <row r="7" spans="1:13" ht="27.6">
      <c r="A7" s="4" t="s">
        <v>164</v>
      </c>
      <c r="B7" s="4" t="s">
        <v>165</v>
      </c>
      <c r="C7" s="4" t="s">
        <v>166</v>
      </c>
      <c r="D7" s="4" t="s">
        <v>167</v>
      </c>
      <c r="E7" s="4" t="s">
        <v>168</v>
      </c>
      <c r="F7" s="4" t="s">
        <v>169</v>
      </c>
    </row>
    <row r="8" spans="1:13" ht="27.6">
      <c r="A8" s="4" t="s">
        <v>170</v>
      </c>
      <c r="B8" s="4" t="s">
        <v>171</v>
      </c>
      <c r="C8" s="4" t="s">
        <v>172</v>
      </c>
      <c r="D8" s="4" t="s">
        <v>173</v>
      </c>
      <c r="E8" s="4" t="s">
        <v>174</v>
      </c>
      <c r="F8" s="4" t="s">
        <v>163</v>
      </c>
    </row>
    <row r="9" spans="1:13" ht="27.6">
      <c r="A9" s="4" t="s">
        <v>175</v>
      </c>
      <c r="B9" s="4" t="s">
        <v>176</v>
      </c>
      <c r="C9" s="4" t="s">
        <v>177</v>
      </c>
      <c r="D9" s="4" t="s">
        <v>178</v>
      </c>
      <c r="E9" s="4" t="s">
        <v>179</v>
      </c>
      <c r="F9" s="4" t="s">
        <v>180</v>
      </c>
    </row>
    <row r="10" spans="1:13" ht="27.6">
      <c r="A10" s="4" t="s">
        <v>181</v>
      </c>
      <c r="B10" s="4" t="s">
        <v>182</v>
      </c>
      <c r="C10" s="4" t="s">
        <v>183</v>
      </c>
      <c r="D10" s="4" t="s">
        <v>184</v>
      </c>
      <c r="E10" s="4" t="s">
        <v>185</v>
      </c>
      <c r="F10" s="4" t="s">
        <v>163</v>
      </c>
    </row>
    <row r="11" spans="1:13" ht="27.6">
      <c r="A11" s="4" t="s">
        <v>186</v>
      </c>
      <c r="B11" s="4" t="s">
        <v>187</v>
      </c>
      <c r="C11" s="4" t="s">
        <v>188</v>
      </c>
      <c r="D11" s="4" t="s">
        <v>189</v>
      </c>
      <c r="E11" s="4" t="s">
        <v>190</v>
      </c>
      <c r="F11" s="4" t="s">
        <v>191</v>
      </c>
    </row>
    <row r="12" spans="1:13" ht="27.6">
      <c r="A12" s="4" t="s">
        <v>192</v>
      </c>
      <c r="B12" s="4" t="s">
        <v>193</v>
      </c>
      <c r="C12" s="4" t="s">
        <v>194</v>
      </c>
      <c r="D12" s="4" t="s">
        <v>195</v>
      </c>
      <c r="E12" s="4" t="s">
        <v>196</v>
      </c>
      <c r="F12" s="4" t="s">
        <v>197</v>
      </c>
    </row>
    <row r="13" spans="1:13" ht="27.6">
      <c r="A13" s="4" t="s">
        <v>198</v>
      </c>
      <c r="B13" s="4" t="s">
        <v>199</v>
      </c>
      <c r="C13" s="4" t="s">
        <v>200</v>
      </c>
      <c r="D13" s="4" t="s">
        <v>201</v>
      </c>
      <c r="E13" s="4" t="s">
        <v>202</v>
      </c>
      <c r="F13" s="4" t="s">
        <v>163</v>
      </c>
    </row>
  </sheetData>
  <mergeCells count="2">
    <mergeCell ref="A1:M1"/>
    <mergeCell ref="A2:M2"/>
  </mergeCell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A49"/>
  <sheetViews>
    <sheetView showGridLines="0" tabSelected="1" topLeftCell="A11" workbookViewId="0">
      <selection activeCell="A4" sqref="A4:G48"/>
    </sheetView>
  </sheetViews>
  <sheetFormatPr defaultRowHeight="13.8"/>
  <cols>
    <col min="1" max="1" width="26.19921875" customWidth="1"/>
    <col min="2" max="2" width="17" customWidth="1"/>
    <col min="3" max="3" width="21.19921875" customWidth="1"/>
    <col min="4" max="4" width="19.59765625" customWidth="1"/>
    <col min="5" max="5" width="20.09765625" customWidth="1"/>
    <col min="6" max="6" width="238.5" customWidth="1"/>
    <col min="7" max="7" width="255" customWidth="1"/>
    <col min="8" max="8" width="28.5" customWidth="1"/>
    <col min="9" max="9" width="22.09765625" customWidth="1"/>
    <col min="10" max="10" width="27.59765625" customWidth="1"/>
    <col min="11" max="11" width="22.3984375" customWidth="1"/>
    <col min="12" max="12" width="15.09765625" customWidth="1"/>
    <col min="13" max="13" width="14.5" customWidth="1"/>
    <col min="14" max="14" width="14.8984375" customWidth="1"/>
    <col min="15" max="15" width="16" customWidth="1"/>
    <col min="16" max="16" width="18.09765625" customWidth="1"/>
    <col min="17" max="17" width="18.5" customWidth="1"/>
    <col min="18" max="18" width="16.5" customWidth="1"/>
    <col min="19" max="19" width="16" customWidth="1"/>
    <col min="20" max="20" width="14.59765625" customWidth="1"/>
    <col min="21" max="21" width="25.69921875" customWidth="1"/>
    <col min="22" max="22" width="33.09765625" customWidth="1"/>
    <col min="23" max="23" width="23.69921875" customWidth="1"/>
    <col min="24" max="24" width="26.19921875" customWidth="1"/>
    <col min="25" max="25" width="27.09765625" customWidth="1"/>
    <col min="26" max="26" width="22.8984375" customWidth="1"/>
    <col min="27" max="27" width="41.5" customWidth="1"/>
  </cols>
  <sheetData>
    <row r="1" spans="1:27" ht="22.8">
      <c r="A1" s="38" t="s">
        <v>203</v>
      </c>
      <c r="B1" s="39"/>
      <c r="C1" s="39"/>
      <c r="D1" s="39"/>
      <c r="E1" s="39"/>
      <c r="F1" s="39"/>
      <c r="G1" s="39"/>
      <c r="H1" s="39"/>
      <c r="I1" s="39"/>
      <c r="J1" s="39"/>
      <c r="K1" s="39"/>
      <c r="L1" s="39"/>
      <c r="M1" s="39"/>
      <c r="N1" s="11"/>
      <c r="O1" s="11"/>
      <c r="P1" s="11"/>
      <c r="Q1" s="11"/>
      <c r="R1" s="11"/>
      <c r="S1" s="11"/>
      <c r="T1" s="11"/>
      <c r="U1" s="11"/>
      <c r="V1" s="11"/>
      <c r="W1" s="11"/>
      <c r="X1" s="11"/>
      <c r="Y1" s="11"/>
      <c r="Z1" s="11"/>
      <c r="AA1" s="11"/>
    </row>
    <row r="2" spans="1:27" ht="14.4">
      <c r="A2" s="40" t="s">
        <v>204</v>
      </c>
      <c r="B2" s="39"/>
      <c r="C2" s="39"/>
      <c r="D2" s="39"/>
      <c r="E2" s="39"/>
      <c r="F2" s="39"/>
      <c r="G2" s="39"/>
      <c r="H2" s="39"/>
      <c r="I2" s="39"/>
      <c r="J2" s="39"/>
      <c r="K2" s="39"/>
      <c r="L2" s="39"/>
      <c r="M2" s="39"/>
      <c r="N2" s="11"/>
      <c r="O2" s="11"/>
      <c r="P2" s="11"/>
      <c r="Q2" s="11"/>
      <c r="R2" s="11"/>
      <c r="S2" s="11"/>
      <c r="T2" s="11"/>
      <c r="U2" s="11"/>
      <c r="V2" s="11"/>
      <c r="W2" s="11"/>
      <c r="X2" s="11"/>
      <c r="Y2" s="11"/>
      <c r="Z2" s="11"/>
      <c r="AA2" s="11"/>
    </row>
    <row r="3" spans="1:27">
      <c r="A3" s="11"/>
      <c r="B3" s="11"/>
      <c r="C3" s="11"/>
      <c r="D3" s="11"/>
      <c r="E3" s="11"/>
      <c r="F3" s="11"/>
      <c r="G3" s="11"/>
      <c r="H3" s="11"/>
      <c r="I3" s="11"/>
      <c r="J3" s="11"/>
      <c r="K3" s="11"/>
      <c r="L3" s="11"/>
      <c r="M3" s="11"/>
      <c r="N3" s="11"/>
      <c r="O3" s="11"/>
      <c r="P3" s="11"/>
      <c r="Q3" s="11"/>
      <c r="R3" s="11"/>
      <c r="S3" s="11"/>
      <c r="T3" s="11"/>
      <c r="U3" s="11"/>
      <c r="V3" s="11"/>
      <c r="W3" s="11"/>
      <c r="X3" s="11"/>
      <c r="Y3" s="11"/>
      <c r="Z3" s="11"/>
      <c r="AA3" s="11"/>
    </row>
    <row r="4" spans="1:27" ht="27.6">
      <c r="A4" s="12" t="s">
        <v>205</v>
      </c>
      <c r="B4" s="12" t="s">
        <v>114</v>
      </c>
      <c r="C4" s="12" t="s">
        <v>206</v>
      </c>
      <c r="D4" s="12" t="s">
        <v>207</v>
      </c>
      <c r="E4" s="12" t="s">
        <v>208</v>
      </c>
      <c r="F4" s="12" t="s">
        <v>209</v>
      </c>
      <c r="G4" s="12" t="s">
        <v>210</v>
      </c>
      <c r="H4" s="12" t="s">
        <v>211</v>
      </c>
      <c r="I4" s="12" t="s">
        <v>212</v>
      </c>
      <c r="J4" s="12" t="s">
        <v>213</v>
      </c>
      <c r="K4" s="12" t="s">
        <v>214</v>
      </c>
      <c r="L4" s="12" t="s">
        <v>215</v>
      </c>
      <c r="M4" s="12" t="s">
        <v>216</v>
      </c>
      <c r="N4" s="12" t="s">
        <v>217</v>
      </c>
      <c r="O4" s="12" t="s">
        <v>218</v>
      </c>
      <c r="P4" s="12" t="s">
        <v>219</v>
      </c>
      <c r="Q4" s="12" t="s">
        <v>220</v>
      </c>
      <c r="R4" s="12" t="s">
        <v>221</v>
      </c>
      <c r="S4" s="12" t="s">
        <v>222</v>
      </c>
      <c r="T4" s="12" t="s">
        <v>223</v>
      </c>
      <c r="U4" s="12" t="s">
        <v>224</v>
      </c>
      <c r="V4" s="23" t="s">
        <v>225</v>
      </c>
      <c r="W4" s="23" t="s">
        <v>226</v>
      </c>
      <c r="X4" s="12" t="s">
        <v>227</v>
      </c>
      <c r="Y4" s="12" t="s">
        <v>228</v>
      </c>
      <c r="Z4" s="12" t="s">
        <v>229</v>
      </c>
      <c r="AA4" s="12" t="s">
        <v>230</v>
      </c>
    </row>
    <row r="5" spans="1:27">
      <c r="A5" s="11" t="s">
        <v>231</v>
      </c>
      <c r="B5" s="13">
        <v>33000</v>
      </c>
      <c r="C5" s="13">
        <v>4950</v>
      </c>
      <c r="D5" s="13">
        <v>28050</v>
      </c>
      <c r="E5" s="11" t="s">
        <v>232</v>
      </c>
      <c r="F5" s="11" t="s">
        <v>233</v>
      </c>
      <c r="G5" s="11" t="s">
        <v>234</v>
      </c>
      <c r="H5" s="11" t="str">
        <f t="shared" ref="H5:H49" si="0">IF(OR(W5="PRIME",W5="LEGACY"),"Plano executivo obrigatorio",IF(J5&gt;0,"Acompanhar conversao","Prospeccao controlada"))</f>
        <v>Prospeccao controlada</v>
      </c>
      <c r="I5" s="11" t="s">
        <v>235</v>
      </c>
      <c r="J5" s="14"/>
      <c r="K5" s="15"/>
      <c r="L5" s="15"/>
      <c r="M5" s="15"/>
      <c r="N5" s="15"/>
      <c r="O5" s="15"/>
      <c r="P5" s="15"/>
      <c r="Q5" s="15"/>
      <c r="R5" s="15"/>
      <c r="S5" s="15"/>
      <c r="T5" s="15"/>
      <c r="U5" s="16"/>
      <c r="V5" s="24">
        <v>50</v>
      </c>
      <c r="W5" s="11" t="s">
        <v>11</v>
      </c>
      <c r="X5" s="11" t="s">
        <v>236</v>
      </c>
      <c r="Y5" s="16">
        <v>0.85</v>
      </c>
      <c r="Z5" s="14"/>
      <c r="AA5" s="14"/>
    </row>
    <row r="6" spans="1:27">
      <c r="A6" s="11" t="s">
        <v>237</v>
      </c>
      <c r="B6" s="13">
        <v>200000</v>
      </c>
      <c r="C6" s="13">
        <v>30000</v>
      </c>
      <c r="D6" s="13">
        <v>170000</v>
      </c>
      <c r="E6" s="11" t="s">
        <v>238</v>
      </c>
      <c r="F6" s="11" t="s">
        <v>239</v>
      </c>
      <c r="G6" s="11" t="s">
        <v>240</v>
      </c>
      <c r="H6" s="11" t="str">
        <f t="shared" si="0"/>
        <v>Prospeccao controlada</v>
      </c>
      <c r="I6" s="11" t="s">
        <v>235</v>
      </c>
      <c r="J6" s="14"/>
      <c r="K6" s="15"/>
      <c r="L6" s="15"/>
      <c r="M6" s="15"/>
      <c r="N6" s="15"/>
      <c r="O6" s="15"/>
      <c r="P6" s="15"/>
      <c r="Q6" s="15"/>
      <c r="R6" s="15"/>
      <c r="S6" s="15"/>
      <c r="T6" s="15"/>
      <c r="U6" s="16"/>
      <c r="V6" s="24">
        <v>51</v>
      </c>
      <c r="W6" s="11" t="s">
        <v>11</v>
      </c>
      <c r="X6" s="11" t="s">
        <v>241</v>
      </c>
      <c r="Y6" s="16">
        <v>0.85</v>
      </c>
      <c r="Z6" s="14"/>
      <c r="AA6" s="14"/>
    </row>
    <row r="7" spans="1:27">
      <c r="A7" s="11" t="s">
        <v>242</v>
      </c>
      <c r="B7" s="13">
        <v>30000</v>
      </c>
      <c r="C7" s="13">
        <v>4500</v>
      </c>
      <c r="D7" s="13">
        <v>25500</v>
      </c>
      <c r="E7" s="11" t="s">
        <v>243</v>
      </c>
      <c r="F7" s="11" t="s">
        <v>244</v>
      </c>
      <c r="G7" s="11" t="s">
        <v>245</v>
      </c>
      <c r="H7" s="11" t="str">
        <f t="shared" si="0"/>
        <v>Plano executivo obrigatorio</v>
      </c>
      <c r="I7" s="11" t="s">
        <v>235</v>
      </c>
      <c r="J7" s="14"/>
      <c r="K7" s="15"/>
      <c r="L7" s="15"/>
      <c r="M7" s="15"/>
      <c r="N7" s="15"/>
      <c r="O7" s="15"/>
      <c r="P7" s="15"/>
      <c r="Q7" s="15"/>
      <c r="R7" s="15"/>
      <c r="S7" s="15"/>
      <c r="T7" s="15"/>
      <c r="U7" s="16"/>
      <c r="V7" s="24">
        <v>89</v>
      </c>
      <c r="W7" s="11" t="s">
        <v>19</v>
      </c>
      <c r="X7" s="11" t="s">
        <v>246</v>
      </c>
      <c r="Y7" s="16">
        <v>1.25</v>
      </c>
      <c r="Z7" s="14"/>
      <c r="AA7" s="14"/>
    </row>
    <row r="8" spans="1:27">
      <c r="A8" s="11" t="s">
        <v>247</v>
      </c>
      <c r="B8" s="13">
        <v>40000</v>
      </c>
      <c r="C8" s="13">
        <v>6000</v>
      </c>
      <c r="D8" s="13">
        <v>34000</v>
      </c>
      <c r="E8" s="11" t="s">
        <v>243</v>
      </c>
      <c r="F8" s="11" t="s">
        <v>248</v>
      </c>
      <c r="G8" s="11" t="s">
        <v>249</v>
      </c>
      <c r="H8" s="11" t="str">
        <f t="shared" si="0"/>
        <v>Prospeccao controlada</v>
      </c>
      <c r="I8" s="11" t="s">
        <v>235</v>
      </c>
      <c r="J8" s="14"/>
      <c r="K8" s="15"/>
      <c r="L8" s="15"/>
      <c r="M8" s="15"/>
      <c r="N8" s="15"/>
      <c r="O8" s="15"/>
      <c r="P8" s="15"/>
      <c r="Q8" s="15"/>
      <c r="R8" s="15"/>
      <c r="S8" s="15"/>
      <c r="T8" s="15"/>
      <c r="U8" s="16"/>
      <c r="V8" s="24">
        <v>60</v>
      </c>
      <c r="W8" s="11" t="s">
        <v>14</v>
      </c>
      <c r="X8" s="11" t="s">
        <v>236</v>
      </c>
      <c r="Y8" s="16">
        <v>1.05</v>
      </c>
      <c r="Z8" s="14"/>
      <c r="AA8" s="14"/>
    </row>
    <row r="9" spans="1:27">
      <c r="A9" s="11" t="s">
        <v>250</v>
      </c>
      <c r="B9" s="13">
        <v>120000</v>
      </c>
      <c r="C9" s="13">
        <v>18000</v>
      </c>
      <c r="D9" s="13">
        <v>102000</v>
      </c>
      <c r="E9" s="11" t="s">
        <v>243</v>
      </c>
      <c r="F9" s="11" t="s">
        <v>251</v>
      </c>
      <c r="G9" s="11" t="s">
        <v>252</v>
      </c>
      <c r="H9" s="11" t="str">
        <f t="shared" si="0"/>
        <v>Plano executivo obrigatorio</v>
      </c>
      <c r="I9" s="11" t="s">
        <v>253</v>
      </c>
      <c r="J9" s="14"/>
      <c r="K9" s="15"/>
      <c r="L9" s="15"/>
      <c r="M9" s="15"/>
      <c r="N9" s="15"/>
      <c r="O9" s="15"/>
      <c r="P9" s="15"/>
      <c r="Q9" s="15"/>
      <c r="R9" s="15"/>
      <c r="S9" s="15"/>
      <c r="T9" s="15"/>
      <c r="U9" s="16"/>
      <c r="V9" s="24">
        <v>86</v>
      </c>
      <c r="W9" s="11" t="s">
        <v>19</v>
      </c>
      <c r="X9" s="11" t="s">
        <v>236</v>
      </c>
      <c r="Y9" s="16">
        <v>1.25</v>
      </c>
      <c r="Z9" s="14"/>
      <c r="AA9" s="14"/>
    </row>
    <row r="10" spans="1:27">
      <c r="A10" s="11" t="s">
        <v>254</v>
      </c>
      <c r="B10" s="13">
        <v>50000</v>
      </c>
      <c r="C10" s="13">
        <v>7500</v>
      </c>
      <c r="D10" s="13">
        <v>42500</v>
      </c>
      <c r="E10" s="11" t="s">
        <v>243</v>
      </c>
      <c r="F10" s="11" t="s">
        <v>255</v>
      </c>
      <c r="G10" s="11" t="s">
        <v>256</v>
      </c>
      <c r="H10" s="11" t="str">
        <f t="shared" si="0"/>
        <v>Prospeccao controlada</v>
      </c>
      <c r="I10" s="11" t="s">
        <v>235</v>
      </c>
      <c r="J10" s="14"/>
      <c r="K10" s="15"/>
      <c r="L10" s="15"/>
      <c r="M10" s="15"/>
      <c r="N10" s="15"/>
      <c r="O10" s="15"/>
      <c r="P10" s="15"/>
      <c r="Q10" s="15"/>
      <c r="R10" s="15"/>
      <c r="S10" s="15"/>
      <c r="T10" s="15"/>
      <c r="U10" s="16"/>
      <c r="V10" s="24">
        <v>47</v>
      </c>
      <c r="W10" s="11" t="s">
        <v>11</v>
      </c>
      <c r="X10" s="11" t="s">
        <v>241</v>
      </c>
      <c r="Y10" s="16">
        <v>0.85</v>
      </c>
      <c r="Z10" s="14"/>
      <c r="AA10" s="14"/>
    </row>
    <row r="11" spans="1:27">
      <c r="A11" s="11" t="s">
        <v>257</v>
      </c>
      <c r="B11" s="13">
        <v>140000</v>
      </c>
      <c r="C11" s="13">
        <v>21000</v>
      </c>
      <c r="D11" s="13">
        <v>119000</v>
      </c>
      <c r="E11" s="11" t="s">
        <v>243</v>
      </c>
      <c r="F11" s="11" t="s">
        <v>258</v>
      </c>
      <c r="G11" s="11" t="s">
        <v>259</v>
      </c>
      <c r="H11" s="11" t="str">
        <f t="shared" si="0"/>
        <v>Plano executivo obrigatorio</v>
      </c>
      <c r="I11" s="11" t="s">
        <v>235</v>
      </c>
      <c r="J11" s="14"/>
      <c r="K11" s="15"/>
      <c r="L11" s="15"/>
      <c r="M11" s="15"/>
      <c r="N11" s="15"/>
      <c r="O11" s="15"/>
      <c r="P11" s="15"/>
      <c r="Q11" s="15"/>
      <c r="R11" s="15"/>
      <c r="S11" s="15"/>
      <c r="T11" s="15"/>
      <c r="U11" s="16"/>
      <c r="V11" s="24">
        <v>97</v>
      </c>
      <c r="W11" s="11" t="s">
        <v>19</v>
      </c>
      <c r="X11" s="11" t="s">
        <v>260</v>
      </c>
      <c r="Y11" s="16">
        <v>1.25</v>
      </c>
      <c r="Z11" s="14"/>
      <c r="AA11" s="14"/>
    </row>
    <row r="12" spans="1:27">
      <c r="A12" s="11" t="s">
        <v>261</v>
      </c>
      <c r="B12" s="13">
        <v>90000</v>
      </c>
      <c r="C12" s="13">
        <v>13500</v>
      </c>
      <c r="D12" s="13">
        <v>76500</v>
      </c>
      <c r="E12" s="11" t="s">
        <v>243</v>
      </c>
      <c r="F12" s="11" t="s">
        <v>262</v>
      </c>
      <c r="G12" s="11" t="s">
        <v>263</v>
      </c>
      <c r="H12" s="11" t="str">
        <f t="shared" si="0"/>
        <v>Plano executivo obrigatorio</v>
      </c>
      <c r="I12" s="11" t="s">
        <v>235</v>
      </c>
      <c r="J12" s="14"/>
      <c r="K12" s="15"/>
      <c r="L12" s="15"/>
      <c r="M12" s="15"/>
      <c r="N12" s="15"/>
      <c r="O12" s="15"/>
      <c r="P12" s="15"/>
      <c r="Q12" s="15"/>
      <c r="R12" s="15"/>
      <c r="S12" s="15"/>
      <c r="T12" s="15"/>
      <c r="U12" s="16"/>
      <c r="V12" s="24">
        <v>74</v>
      </c>
      <c r="W12" s="11" t="s">
        <v>17</v>
      </c>
      <c r="X12" s="11" t="s">
        <v>260</v>
      </c>
      <c r="Y12" s="16">
        <v>1.1499999999999999</v>
      </c>
      <c r="Z12" s="14"/>
      <c r="AA12" s="14"/>
    </row>
    <row r="13" spans="1:27">
      <c r="A13" s="11" t="s">
        <v>264</v>
      </c>
      <c r="B13" s="13">
        <v>60000</v>
      </c>
      <c r="C13" s="13">
        <v>9000</v>
      </c>
      <c r="D13" s="13">
        <v>51000</v>
      </c>
      <c r="E13" s="11" t="s">
        <v>238</v>
      </c>
      <c r="F13" s="11" t="s">
        <v>265</v>
      </c>
      <c r="G13" s="11" t="s">
        <v>266</v>
      </c>
      <c r="H13" s="11" t="str">
        <f t="shared" si="0"/>
        <v>Plano executivo obrigatorio</v>
      </c>
      <c r="I13" s="11" t="s">
        <v>235</v>
      </c>
      <c r="J13" s="14"/>
      <c r="K13" s="15"/>
      <c r="L13" s="15"/>
      <c r="M13" s="15"/>
      <c r="N13" s="15"/>
      <c r="O13" s="15"/>
      <c r="P13" s="15"/>
      <c r="Q13" s="15"/>
      <c r="R13" s="15"/>
      <c r="S13" s="15"/>
      <c r="T13" s="15"/>
      <c r="U13" s="16"/>
      <c r="V13" s="24">
        <v>79</v>
      </c>
      <c r="W13" s="11" t="s">
        <v>17</v>
      </c>
      <c r="X13" s="11" t="s">
        <v>236</v>
      </c>
      <c r="Y13" s="16">
        <v>1.1499999999999999</v>
      </c>
      <c r="Z13" s="14"/>
      <c r="AA13" s="14"/>
    </row>
    <row r="14" spans="1:27">
      <c r="A14" s="11" t="s">
        <v>267</v>
      </c>
      <c r="B14" s="13">
        <v>180000</v>
      </c>
      <c r="C14" s="13">
        <v>27000</v>
      </c>
      <c r="D14" s="13">
        <v>153000</v>
      </c>
      <c r="E14" s="11" t="s">
        <v>243</v>
      </c>
      <c r="F14" s="11" t="s">
        <v>268</v>
      </c>
      <c r="G14" s="11" t="s">
        <v>269</v>
      </c>
      <c r="H14" s="11" t="str">
        <f t="shared" si="0"/>
        <v>Plano executivo obrigatorio</v>
      </c>
      <c r="I14" s="11" t="s">
        <v>253</v>
      </c>
      <c r="J14" s="14"/>
      <c r="K14" s="15"/>
      <c r="L14" s="15"/>
      <c r="M14" s="15"/>
      <c r="N14" s="15"/>
      <c r="O14" s="15"/>
      <c r="P14" s="15"/>
      <c r="Q14" s="15"/>
      <c r="R14" s="15"/>
      <c r="S14" s="15"/>
      <c r="T14" s="15"/>
      <c r="U14" s="16"/>
      <c r="V14" s="24">
        <v>100</v>
      </c>
      <c r="W14" s="11" t="s">
        <v>19</v>
      </c>
      <c r="X14" s="11" t="s">
        <v>260</v>
      </c>
      <c r="Y14" s="16">
        <v>1.25</v>
      </c>
      <c r="Z14" s="14"/>
      <c r="AA14" s="14"/>
    </row>
    <row r="15" spans="1:27">
      <c r="A15" s="11" t="s">
        <v>270</v>
      </c>
      <c r="B15" s="13">
        <v>20000</v>
      </c>
      <c r="C15" s="13">
        <v>3000</v>
      </c>
      <c r="D15" s="13">
        <v>17000</v>
      </c>
      <c r="E15" s="11" t="s">
        <v>232</v>
      </c>
      <c r="F15" s="11" t="s">
        <v>271</v>
      </c>
      <c r="G15" s="11" t="s">
        <v>272</v>
      </c>
      <c r="H15" s="11" t="str">
        <f t="shared" si="0"/>
        <v>Prospeccao controlada</v>
      </c>
      <c r="I15" s="11" t="s">
        <v>235</v>
      </c>
      <c r="J15" s="14"/>
      <c r="K15" s="15"/>
      <c r="L15" s="15"/>
      <c r="M15" s="15"/>
      <c r="N15" s="15"/>
      <c r="O15" s="15"/>
      <c r="P15" s="15"/>
      <c r="Q15" s="15"/>
      <c r="R15" s="15"/>
      <c r="S15" s="15"/>
      <c r="T15" s="15"/>
      <c r="U15" s="16"/>
      <c r="V15" s="24">
        <v>66</v>
      </c>
      <c r="W15" s="11" t="s">
        <v>14</v>
      </c>
      <c r="X15" s="11" t="s">
        <v>273</v>
      </c>
      <c r="Y15" s="16">
        <v>1.05</v>
      </c>
      <c r="Z15" s="14"/>
      <c r="AA15" s="14"/>
    </row>
    <row r="16" spans="1:27">
      <c r="A16" s="11" t="s">
        <v>274</v>
      </c>
      <c r="B16" s="13">
        <v>95000</v>
      </c>
      <c r="C16" s="13">
        <v>14250</v>
      </c>
      <c r="D16" s="13">
        <v>80750</v>
      </c>
      <c r="E16" s="11" t="s">
        <v>243</v>
      </c>
      <c r="F16" s="11" t="s">
        <v>275</v>
      </c>
      <c r="G16" s="11" t="s">
        <v>276</v>
      </c>
      <c r="H16" s="11" t="str">
        <f t="shared" si="0"/>
        <v>Plano executivo obrigatorio</v>
      </c>
      <c r="I16" s="11" t="s">
        <v>235</v>
      </c>
      <c r="J16" s="14"/>
      <c r="K16" s="15"/>
      <c r="L16" s="15"/>
      <c r="M16" s="15"/>
      <c r="N16" s="15"/>
      <c r="O16" s="15"/>
      <c r="P16" s="15"/>
      <c r="Q16" s="15"/>
      <c r="R16" s="15"/>
      <c r="S16" s="15"/>
      <c r="T16" s="15"/>
      <c r="U16" s="16"/>
      <c r="V16" s="24">
        <v>97</v>
      </c>
      <c r="W16" s="11" t="s">
        <v>19</v>
      </c>
      <c r="X16" s="11" t="s">
        <v>260</v>
      </c>
      <c r="Y16" s="16">
        <v>1.25</v>
      </c>
      <c r="Z16" s="14"/>
      <c r="AA16" s="14"/>
    </row>
    <row r="17" spans="1:27">
      <c r="A17" s="11" t="s">
        <v>277</v>
      </c>
      <c r="B17" s="13">
        <v>130000</v>
      </c>
      <c r="C17" s="13">
        <v>19500</v>
      </c>
      <c r="D17" s="13">
        <v>110500</v>
      </c>
      <c r="E17" s="11" t="s">
        <v>232</v>
      </c>
      <c r="F17" s="11" t="s">
        <v>278</v>
      </c>
      <c r="G17" s="11" t="s">
        <v>279</v>
      </c>
      <c r="H17" s="11" t="str">
        <f t="shared" si="0"/>
        <v>Plano executivo obrigatorio</v>
      </c>
      <c r="I17" s="11" t="s">
        <v>253</v>
      </c>
      <c r="J17" s="14"/>
      <c r="K17" s="15"/>
      <c r="L17" s="15"/>
      <c r="M17" s="15"/>
      <c r="N17" s="15"/>
      <c r="O17" s="15"/>
      <c r="P17" s="15"/>
      <c r="Q17" s="15"/>
      <c r="R17" s="15"/>
      <c r="S17" s="15"/>
      <c r="T17" s="15"/>
      <c r="U17" s="16"/>
      <c r="V17" s="24">
        <v>78</v>
      </c>
      <c r="W17" s="11" t="s">
        <v>17</v>
      </c>
      <c r="X17" s="11" t="s">
        <v>273</v>
      </c>
      <c r="Y17" s="16">
        <v>1.1499999999999999</v>
      </c>
      <c r="Z17" s="14"/>
      <c r="AA17" s="14"/>
    </row>
    <row r="18" spans="1:27">
      <c r="A18" s="11" t="s">
        <v>280</v>
      </c>
      <c r="B18" s="13">
        <v>190000</v>
      </c>
      <c r="C18" s="13">
        <v>28500</v>
      </c>
      <c r="D18" s="13">
        <v>161500</v>
      </c>
      <c r="E18" s="11" t="s">
        <v>243</v>
      </c>
      <c r="F18" s="11" t="s">
        <v>281</v>
      </c>
      <c r="G18" s="11" t="s">
        <v>282</v>
      </c>
      <c r="H18" s="11" t="str">
        <f t="shared" si="0"/>
        <v>Plano executivo obrigatorio</v>
      </c>
      <c r="I18" s="11" t="s">
        <v>235</v>
      </c>
      <c r="J18" s="14"/>
      <c r="K18" s="15"/>
      <c r="L18" s="15"/>
      <c r="M18" s="15"/>
      <c r="N18" s="15"/>
      <c r="O18" s="15"/>
      <c r="P18" s="15"/>
      <c r="Q18" s="15"/>
      <c r="R18" s="15"/>
      <c r="S18" s="15"/>
      <c r="T18" s="15"/>
      <c r="U18" s="16"/>
      <c r="V18" s="24">
        <v>100</v>
      </c>
      <c r="W18" s="11" t="s">
        <v>19</v>
      </c>
      <c r="X18" s="11" t="s">
        <v>260</v>
      </c>
      <c r="Y18" s="16">
        <v>1.25</v>
      </c>
      <c r="Z18" s="14"/>
      <c r="AA18" s="14"/>
    </row>
    <row r="19" spans="1:27">
      <c r="A19" s="11" t="s">
        <v>283</v>
      </c>
      <c r="B19" s="13">
        <v>50000</v>
      </c>
      <c r="C19" s="13">
        <v>7500</v>
      </c>
      <c r="D19" s="13">
        <v>42500</v>
      </c>
      <c r="E19" s="11" t="s">
        <v>243</v>
      </c>
      <c r="F19" s="11" t="s">
        <v>284</v>
      </c>
      <c r="G19" s="11" t="s">
        <v>285</v>
      </c>
      <c r="H19" s="11" t="str">
        <f t="shared" si="0"/>
        <v>Plano executivo obrigatorio</v>
      </c>
      <c r="I19" s="11" t="s">
        <v>235</v>
      </c>
      <c r="J19" s="14"/>
      <c r="K19" s="15"/>
      <c r="L19" s="15"/>
      <c r="M19" s="15"/>
      <c r="N19" s="15"/>
      <c r="O19" s="15"/>
      <c r="P19" s="15"/>
      <c r="Q19" s="15"/>
      <c r="R19" s="15"/>
      <c r="S19" s="15"/>
      <c r="T19" s="15"/>
      <c r="U19" s="16"/>
      <c r="V19" s="24">
        <v>93</v>
      </c>
      <c r="W19" s="11" t="s">
        <v>19</v>
      </c>
      <c r="X19" s="11" t="s">
        <v>246</v>
      </c>
      <c r="Y19" s="16">
        <v>1.25</v>
      </c>
      <c r="Z19" s="14"/>
      <c r="AA19" s="14"/>
    </row>
    <row r="20" spans="1:27">
      <c r="A20" s="11" t="s">
        <v>286</v>
      </c>
      <c r="B20" s="13">
        <v>70000</v>
      </c>
      <c r="C20" s="13">
        <v>10500</v>
      </c>
      <c r="D20" s="13">
        <v>59500</v>
      </c>
      <c r="E20" s="11" t="s">
        <v>243</v>
      </c>
      <c r="F20" s="11" t="s">
        <v>287</v>
      </c>
      <c r="G20" s="11" t="s">
        <v>288</v>
      </c>
      <c r="H20" s="11" t="str">
        <f t="shared" si="0"/>
        <v>Plano executivo obrigatorio</v>
      </c>
      <c r="I20" s="11" t="s">
        <v>235</v>
      </c>
      <c r="J20" s="14"/>
      <c r="K20" s="15"/>
      <c r="L20" s="15"/>
      <c r="M20" s="15"/>
      <c r="N20" s="15"/>
      <c r="O20" s="15"/>
      <c r="P20" s="15"/>
      <c r="Q20" s="15"/>
      <c r="R20" s="15"/>
      <c r="S20" s="15"/>
      <c r="T20" s="15"/>
      <c r="U20" s="16"/>
      <c r="V20" s="24">
        <v>82</v>
      </c>
      <c r="W20" s="11" t="s">
        <v>17</v>
      </c>
      <c r="X20" s="11" t="s">
        <v>260</v>
      </c>
      <c r="Y20" s="16">
        <v>1.1499999999999999</v>
      </c>
      <c r="Z20" s="14"/>
      <c r="AA20" s="14"/>
    </row>
    <row r="21" spans="1:27">
      <c r="A21" s="11" t="s">
        <v>289</v>
      </c>
      <c r="B21" s="13">
        <v>67000</v>
      </c>
      <c r="C21" s="13">
        <v>10050</v>
      </c>
      <c r="D21" s="13">
        <v>56950</v>
      </c>
      <c r="E21" s="11" t="s">
        <v>243</v>
      </c>
      <c r="F21" s="11" t="s">
        <v>290</v>
      </c>
      <c r="G21" s="11" t="s">
        <v>291</v>
      </c>
      <c r="H21" s="11" t="str">
        <f t="shared" si="0"/>
        <v>Plano executivo obrigatorio</v>
      </c>
      <c r="I21" s="11" t="s">
        <v>253</v>
      </c>
      <c r="J21" s="14"/>
      <c r="K21" s="15"/>
      <c r="L21" s="15"/>
      <c r="M21" s="15"/>
      <c r="N21" s="15"/>
      <c r="O21" s="15"/>
      <c r="P21" s="15"/>
      <c r="Q21" s="15"/>
      <c r="R21" s="15"/>
      <c r="S21" s="15"/>
      <c r="T21" s="15"/>
      <c r="U21" s="16"/>
      <c r="V21" s="24">
        <v>81</v>
      </c>
      <c r="W21" s="11" t="s">
        <v>17</v>
      </c>
      <c r="X21" s="11" t="s">
        <v>236</v>
      </c>
      <c r="Y21" s="16">
        <v>1.1499999999999999</v>
      </c>
      <c r="Z21" s="14"/>
      <c r="AA21" s="14"/>
    </row>
    <row r="22" spans="1:27">
      <c r="A22" s="11" t="s">
        <v>292</v>
      </c>
      <c r="B22" s="13">
        <v>32000</v>
      </c>
      <c r="C22" s="13">
        <v>4800</v>
      </c>
      <c r="D22" s="13">
        <v>27200</v>
      </c>
      <c r="E22" s="11" t="s">
        <v>232</v>
      </c>
      <c r="F22" s="11" t="s">
        <v>293</v>
      </c>
      <c r="G22" s="11" t="s">
        <v>294</v>
      </c>
      <c r="H22" s="11" t="str">
        <f t="shared" si="0"/>
        <v>Prospeccao controlada</v>
      </c>
      <c r="I22" s="11" t="s">
        <v>253</v>
      </c>
      <c r="J22" s="14"/>
      <c r="K22" s="15"/>
      <c r="L22" s="15"/>
      <c r="M22" s="15"/>
      <c r="N22" s="15"/>
      <c r="O22" s="15"/>
      <c r="P22" s="15"/>
      <c r="Q22" s="15"/>
      <c r="R22" s="15"/>
      <c r="S22" s="15"/>
      <c r="T22" s="15"/>
      <c r="U22" s="16"/>
      <c r="V22" s="24">
        <v>37</v>
      </c>
      <c r="W22" s="11" t="s">
        <v>11</v>
      </c>
      <c r="X22" s="11" t="s">
        <v>241</v>
      </c>
      <c r="Y22" s="16">
        <v>0.85</v>
      </c>
      <c r="Z22" s="14"/>
      <c r="AA22" s="14"/>
    </row>
    <row r="23" spans="1:27">
      <c r="A23" s="11" t="s">
        <v>295</v>
      </c>
      <c r="B23" s="13">
        <v>30000</v>
      </c>
      <c r="C23" s="13">
        <v>4500</v>
      </c>
      <c r="D23" s="13">
        <v>25500</v>
      </c>
      <c r="E23" s="11" t="s">
        <v>243</v>
      </c>
      <c r="F23" s="11" t="s">
        <v>296</v>
      </c>
      <c r="G23" s="11" t="s">
        <v>297</v>
      </c>
      <c r="H23" s="11" t="str">
        <f t="shared" si="0"/>
        <v>Plano executivo obrigatorio</v>
      </c>
      <c r="I23" s="11" t="s">
        <v>235</v>
      </c>
      <c r="J23" s="14"/>
      <c r="K23" s="15"/>
      <c r="L23" s="15"/>
      <c r="M23" s="15"/>
      <c r="N23" s="15"/>
      <c r="O23" s="15"/>
      <c r="P23" s="15"/>
      <c r="Q23" s="15"/>
      <c r="R23" s="15"/>
      <c r="S23" s="15"/>
      <c r="T23" s="15"/>
      <c r="U23" s="16"/>
      <c r="V23" s="24">
        <v>89</v>
      </c>
      <c r="W23" s="11" t="s">
        <v>19</v>
      </c>
      <c r="X23" s="11" t="s">
        <v>260</v>
      </c>
      <c r="Y23" s="16">
        <v>1.25</v>
      </c>
      <c r="Z23" s="14"/>
      <c r="AA23" s="14"/>
    </row>
    <row r="24" spans="1:27">
      <c r="A24" s="11" t="s">
        <v>298</v>
      </c>
      <c r="B24" s="13">
        <v>20000</v>
      </c>
      <c r="C24" s="13">
        <v>3000</v>
      </c>
      <c r="D24" s="13">
        <v>17000</v>
      </c>
      <c r="E24" s="11" t="s">
        <v>238</v>
      </c>
      <c r="F24" s="11" t="s">
        <v>299</v>
      </c>
      <c r="G24" s="11" t="s">
        <v>300</v>
      </c>
      <c r="H24" s="11" t="str">
        <f t="shared" si="0"/>
        <v>Prospeccao controlada</v>
      </c>
      <c r="I24" s="11" t="s">
        <v>235</v>
      </c>
      <c r="J24" s="14"/>
      <c r="K24" s="15"/>
      <c r="L24" s="15"/>
      <c r="M24" s="15"/>
      <c r="N24" s="15"/>
      <c r="O24" s="15"/>
      <c r="P24" s="15"/>
      <c r="Q24" s="15"/>
      <c r="R24" s="15"/>
      <c r="S24" s="15"/>
      <c r="T24" s="15"/>
      <c r="U24" s="16"/>
      <c r="V24" s="24">
        <v>66</v>
      </c>
      <c r="W24" s="11" t="s">
        <v>14</v>
      </c>
      <c r="X24" s="11" t="s">
        <v>236</v>
      </c>
      <c r="Y24" s="16">
        <v>1.05</v>
      </c>
      <c r="Z24" s="14"/>
      <c r="AA24" s="14"/>
    </row>
    <row r="25" spans="1:27">
      <c r="A25" s="11" t="s">
        <v>301</v>
      </c>
      <c r="B25" s="13">
        <v>20000</v>
      </c>
      <c r="C25" s="13">
        <v>3000</v>
      </c>
      <c r="D25" s="13">
        <v>17000</v>
      </c>
      <c r="E25" s="11" t="s">
        <v>243</v>
      </c>
      <c r="F25" s="11" t="s">
        <v>302</v>
      </c>
      <c r="G25" s="11" t="s">
        <v>303</v>
      </c>
      <c r="H25" s="11" t="str">
        <f t="shared" si="0"/>
        <v>Plano executivo obrigatorio</v>
      </c>
      <c r="I25" s="11" t="s">
        <v>235</v>
      </c>
      <c r="J25" s="14"/>
      <c r="K25" s="15"/>
      <c r="L25" s="15"/>
      <c r="M25" s="15"/>
      <c r="N25" s="15"/>
      <c r="O25" s="15"/>
      <c r="P25" s="15"/>
      <c r="Q25" s="15"/>
      <c r="R25" s="15"/>
      <c r="S25" s="15"/>
      <c r="T25" s="15"/>
      <c r="U25" s="16"/>
      <c r="V25" s="24">
        <v>85</v>
      </c>
      <c r="W25" s="11" t="s">
        <v>19</v>
      </c>
      <c r="X25" s="11" t="s">
        <v>260</v>
      </c>
      <c r="Y25" s="16">
        <v>1.25</v>
      </c>
      <c r="Z25" s="14"/>
      <c r="AA25" s="14"/>
    </row>
    <row r="26" spans="1:27">
      <c r="A26" s="11" t="s">
        <v>304</v>
      </c>
      <c r="B26" s="13">
        <v>80000</v>
      </c>
      <c r="C26" s="13">
        <v>12000</v>
      </c>
      <c r="D26" s="13">
        <v>68000</v>
      </c>
      <c r="E26" s="11" t="s">
        <v>232</v>
      </c>
      <c r="F26" s="11" t="s">
        <v>305</v>
      </c>
      <c r="G26" s="11" t="s">
        <v>306</v>
      </c>
      <c r="H26" s="11" t="str">
        <f t="shared" si="0"/>
        <v>Plano executivo obrigatorio</v>
      </c>
      <c r="I26" s="11" t="s">
        <v>253</v>
      </c>
      <c r="J26" s="14"/>
      <c r="K26" s="15"/>
      <c r="L26" s="15"/>
      <c r="M26" s="15"/>
      <c r="N26" s="15"/>
      <c r="O26" s="15"/>
      <c r="P26" s="15"/>
      <c r="Q26" s="15"/>
      <c r="R26" s="15"/>
      <c r="S26" s="15"/>
      <c r="T26" s="15"/>
      <c r="U26" s="16"/>
      <c r="V26" s="24">
        <v>76</v>
      </c>
      <c r="W26" s="11" t="s">
        <v>17</v>
      </c>
      <c r="X26" s="11" t="s">
        <v>236</v>
      </c>
      <c r="Y26" s="16">
        <v>1.1499999999999999</v>
      </c>
      <c r="Z26" s="14"/>
      <c r="AA26" s="14"/>
    </row>
    <row r="27" spans="1:27">
      <c r="A27" s="11" t="s">
        <v>307</v>
      </c>
      <c r="B27" s="13">
        <v>50000</v>
      </c>
      <c r="C27" s="13">
        <v>7500</v>
      </c>
      <c r="D27" s="13">
        <v>42500</v>
      </c>
      <c r="E27" s="11" t="s">
        <v>232</v>
      </c>
      <c r="F27" s="11" t="s">
        <v>308</v>
      </c>
      <c r="G27" s="11" t="s">
        <v>309</v>
      </c>
      <c r="H27" s="11" t="str">
        <f t="shared" si="0"/>
        <v>Prospeccao controlada</v>
      </c>
      <c r="I27" s="11" t="s">
        <v>235</v>
      </c>
      <c r="J27" s="14"/>
      <c r="K27" s="15"/>
      <c r="L27" s="15"/>
      <c r="M27" s="15"/>
      <c r="N27" s="15"/>
      <c r="O27" s="15"/>
      <c r="P27" s="15"/>
      <c r="Q27" s="15"/>
      <c r="R27" s="15"/>
      <c r="S27" s="15"/>
      <c r="T27" s="15"/>
      <c r="U27" s="16"/>
      <c r="V27" s="24">
        <v>66</v>
      </c>
      <c r="W27" s="11" t="s">
        <v>14</v>
      </c>
      <c r="X27" s="11" t="s">
        <v>236</v>
      </c>
      <c r="Y27" s="16">
        <v>1.05</v>
      </c>
      <c r="Z27" s="14"/>
      <c r="AA27" s="14"/>
    </row>
    <row r="28" spans="1:27">
      <c r="A28" s="11" t="s">
        <v>310</v>
      </c>
      <c r="B28" s="13">
        <v>120000</v>
      </c>
      <c r="C28" s="13">
        <v>18000</v>
      </c>
      <c r="D28" s="13">
        <v>102000</v>
      </c>
      <c r="E28" s="11" t="s">
        <v>238</v>
      </c>
      <c r="F28" s="11" t="s">
        <v>311</v>
      </c>
      <c r="G28" s="11" t="s">
        <v>312</v>
      </c>
      <c r="H28" s="11" t="str">
        <f t="shared" si="0"/>
        <v>Plano executivo obrigatorio</v>
      </c>
      <c r="I28" s="11" t="s">
        <v>253</v>
      </c>
      <c r="J28" s="14"/>
      <c r="K28" s="15"/>
      <c r="L28" s="15"/>
      <c r="M28" s="15"/>
      <c r="N28" s="15"/>
      <c r="O28" s="15"/>
      <c r="P28" s="15"/>
      <c r="Q28" s="15"/>
      <c r="R28" s="15"/>
      <c r="S28" s="15"/>
      <c r="T28" s="15"/>
      <c r="U28" s="16"/>
      <c r="V28" s="24">
        <v>97</v>
      </c>
      <c r="W28" s="11" t="s">
        <v>19</v>
      </c>
      <c r="X28" s="11" t="s">
        <v>246</v>
      </c>
      <c r="Y28" s="16">
        <v>1.25</v>
      </c>
      <c r="Z28" s="14"/>
      <c r="AA28" s="14"/>
    </row>
    <row r="29" spans="1:27">
      <c r="A29" s="11" t="s">
        <v>313</v>
      </c>
      <c r="B29" s="13">
        <v>30000</v>
      </c>
      <c r="C29" s="13">
        <v>4500</v>
      </c>
      <c r="D29" s="13">
        <v>25500</v>
      </c>
      <c r="E29" s="11" t="s">
        <v>238</v>
      </c>
      <c r="F29" s="11" t="s">
        <v>314</v>
      </c>
      <c r="G29" s="11" t="s">
        <v>315</v>
      </c>
      <c r="H29" s="11" t="str">
        <f t="shared" si="0"/>
        <v>Plano executivo obrigatorio</v>
      </c>
      <c r="I29" s="11" t="s">
        <v>235</v>
      </c>
      <c r="J29" s="14"/>
      <c r="K29" s="15"/>
      <c r="L29" s="15"/>
      <c r="M29" s="15"/>
      <c r="N29" s="15"/>
      <c r="O29" s="15"/>
      <c r="P29" s="15"/>
      <c r="Q29" s="15"/>
      <c r="R29" s="15"/>
      <c r="S29" s="15"/>
      <c r="T29" s="15"/>
      <c r="U29" s="16"/>
      <c r="V29" s="24">
        <v>72</v>
      </c>
      <c r="W29" s="11" t="s">
        <v>17</v>
      </c>
      <c r="X29" s="11" t="s">
        <v>236</v>
      </c>
      <c r="Y29" s="16">
        <v>1.1499999999999999</v>
      </c>
      <c r="Z29" s="14"/>
      <c r="AA29" s="14"/>
    </row>
    <row r="30" spans="1:27">
      <c r="A30" s="11" t="s">
        <v>316</v>
      </c>
      <c r="B30" s="13">
        <v>40000</v>
      </c>
      <c r="C30" s="13">
        <v>6000</v>
      </c>
      <c r="D30" s="13">
        <v>50000</v>
      </c>
      <c r="E30" s="11" t="s">
        <v>243</v>
      </c>
      <c r="F30" s="11" t="s">
        <v>317</v>
      </c>
      <c r="G30" s="11" t="s">
        <v>318</v>
      </c>
      <c r="H30" s="11" t="str">
        <f t="shared" si="0"/>
        <v>Plano executivo obrigatorio</v>
      </c>
      <c r="I30" s="11" t="s">
        <v>235</v>
      </c>
      <c r="J30" s="14"/>
      <c r="K30" s="15"/>
      <c r="L30" s="15"/>
      <c r="M30" s="15"/>
      <c r="N30" s="15"/>
      <c r="O30" s="15"/>
      <c r="P30" s="15"/>
      <c r="Q30" s="15"/>
      <c r="R30" s="15"/>
      <c r="S30" s="15"/>
      <c r="T30" s="15"/>
      <c r="U30" s="16"/>
      <c r="V30" s="24">
        <v>75</v>
      </c>
      <c r="W30" s="11" t="s">
        <v>17</v>
      </c>
      <c r="X30" s="11" t="s">
        <v>236</v>
      </c>
      <c r="Y30" s="16">
        <v>1.1499999999999999</v>
      </c>
      <c r="Z30" s="14"/>
      <c r="AA30" s="14"/>
    </row>
    <row r="31" spans="1:27">
      <c r="A31" s="11" t="s">
        <v>319</v>
      </c>
      <c r="B31" s="13">
        <v>9000</v>
      </c>
      <c r="C31" s="13">
        <v>1350</v>
      </c>
      <c r="D31" s="13">
        <v>7650</v>
      </c>
      <c r="E31" s="11" t="s">
        <v>232</v>
      </c>
      <c r="F31" s="11" t="s">
        <v>320</v>
      </c>
      <c r="G31" s="11" t="s">
        <v>321</v>
      </c>
      <c r="H31" s="11" t="str">
        <f t="shared" si="0"/>
        <v>Prospeccao controlada</v>
      </c>
      <c r="I31" s="11" t="s">
        <v>253</v>
      </c>
      <c r="J31" s="14"/>
      <c r="K31" s="15"/>
      <c r="L31" s="15"/>
      <c r="M31" s="15"/>
      <c r="N31" s="15"/>
      <c r="O31" s="15"/>
      <c r="P31" s="15"/>
      <c r="Q31" s="15"/>
      <c r="R31" s="15"/>
      <c r="S31" s="15"/>
      <c r="T31" s="15"/>
      <c r="U31" s="16"/>
      <c r="V31" s="24">
        <v>35</v>
      </c>
      <c r="W31" s="11" t="s">
        <v>11</v>
      </c>
      <c r="X31" s="11" t="s">
        <v>241</v>
      </c>
      <c r="Y31" s="16">
        <v>0.85</v>
      </c>
      <c r="Z31" s="14"/>
      <c r="AA31" s="14"/>
    </row>
    <row r="32" spans="1:27">
      <c r="A32" s="11" t="s">
        <v>322</v>
      </c>
      <c r="B32" s="13">
        <v>20000</v>
      </c>
      <c r="C32" s="13">
        <v>3000</v>
      </c>
      <c r="D32" s="13">
        <v>17000</v>
      </c>
      <c r="E32" s="11" t="s">
        <v>243</v>
      </c>
      <c r="F32" s="11" t="s">
        <v>323</v>
      </c>
      <c r="G32" s="11" t="s">
        <v>324</v>
      </c>
      <c r="H32" s="11" t="str">
        <f t="shared" si="0"/>
        <v>Prospeccao controlada</v>
      </c>
      <c r="I32" s="11" t="s">
        <v>253</v>
      </c>
      <c r="J32" s="14"/>
      <c r="K32" s="15"/>
      <c r="L32" s="15"/>
      <c r="M32" s="15"/>
      <c r="N32" s="15"/>
      <c r="O32" s="15"/>
      <c r="P32" s="15"/>
      <c r="Q32" s="15"/>
      <c r="R32" s="15"/>
      <c r="S32" s="15"/>
      <c r="T32" s="15"/>
      <c r="U32" s="16"/>
      <c r="V32" s="24">
        <v>61</v>
      </c>
      <c r="W32" s="11" t="s">
        <v>14</v>
      </c>
      <c r="X32" s="11" t="s">
        <v>236</v>
      </c>
      <c r="Y32" s="16">
        <v>1.05</v>
      </c>
      <c r="Z32" s="14"/>
      <c r="AA32" s="14"/>
    </row>
    <row r="33" spans="1:27">
      <c r="A33" s="11" t="s">
        <v>325</v>
      </c>
      <c r="B33" s="13">
        <v>50000</v>
      </c>
      <c r="C33" s="13">
        <v>7500</v>
      </c>
      <c r="D33" s="13">
        <v>42500</v>
      </c>
      <c r="E33" s="11" t="s">
        <v>243</v>
      </c>
      <c r="F33" s="11" t="s">
        <v>326</v>
      </c>
      <c r="G33" s="11" t="s">
        <v>327</v>
      </c>
      <c r="H33" s="11" t="str">
        <f t="shared" si="0"/>
        <v>Plano executivo obrigatorio</v>
      </c>
      <c r="I33" s="11" t="s">
        <v>253</v>
      </c>
      <c r="J33" s="14"/>
      <c r="K33" s="15"/>
      <c r="L33" s="15"/>
      <c r="M33" s="15"/>
      <c r="N33" s="15"/>
      <c r="O33" s="15"/>
      <c r="P33" s="15"/>
      <c r="Q33" s="15"/>
      <c r="R33" s="15"/>
      <c r="S33" s="15"/>
      <c r="T33" s="15"/>
      <c r="U33" s="16"/>
      <c r="V33" s="24">
        <v>93</v>
      </c>
      <c r="W33" s="11" t="s">
        <v>19</v>
      </c>
      <c r="X33" s="11" t="s">
        <v>246</v>
      </c>
      <c r="Y33" s="16">
        <v>1.25</v>
      </c>
      <c r="Z33" s="14"/>
      <c r="AA33" s="14"/>
    </row>
    <row r="34" spans="1:27">
      <c r="A34" s="11" t="s">
        <v>328</v>
      </c>
      <c r="B34" s="13">
        <v>20000</v>
      </c>
      <c r="C34" s="13">
        <v>3000</v>
      </c>
      <c r="D34" s="13">
        <v>17000</v>
      </c>
      <c r="E34" s="11" t="s">
        <v>243</v>
      </c>
      <c r="F34" s="11" t="s">
        <v>329</v>
      </c>
      <c r="G34" s="11" t="s">
        <v>330</v>
      </c>
      <c r="H34" s="11" t="str">
        <f t="shared" si="0"/>
        <v>Prospeccao controlada</v>
      </c>
      <c r="I34" s="11" t="s">
        <v>235</v>
      </c>
      <c r="J34" s="14"/>
      <c r="K34" s="15"/>
      <c r="L34" s="15"/>
      <c r="M34" s="15"/>
      <c r="N34" s="15"/>
      <c r="O34" s="15"/>
      <c r="P34" s="15"/>
      <c r="Q34" s="15"/>
      <c r="R34" s="15"/>
      <c r="S34" s="15"/>
      <c r="T34" s="15"/>
      <c r="U34" s="16"/>
      <c r="V34" s="24">
        <v>33</v>
      </c>
      <c r="W34" s="11" t="s">
        <v>11</v>
      </c>
      <c r="X34" s="11" t="s">
        <v>241</v>
      </c>
      <c r="Y34" s="16">
        <v>0.85</v>
      </c>
      <c r="Z34" s="14"/>
      <c r="AA34" s="14"/>
    </row>
    <row r="35" spans="1:27">
      <c r="A35" s="11" t="s">
        <v>331</v>
      </c>
      <c r="B35" s="13">
        <v>20000</v>
      </c>
      <c r="C35" s="13">
        <v>3000</v>
      </c>
      <c r="D35" s="13">
        <v>17000</v>
      </c>
      <c r="E35" s="11" t="s">
        <v>232</v>
      </c>
      <c r="F35" s="11" t="s">
        <v>332</v>
      </c>
      <c r="G35" s="11" t="s">
        <v>333</v>
      </c>
      <c r="H35" s="11" t="str">
        <f t="shared" si="0"/>
        <v>Prospeccao controlada</v>
      </c>
      <c r="I35" s="11" t="s">
        <v>253</v>
      </c>
      <c r="J35" s="14"/>
      <c r="K35" s="15"/>
      <c r="L35" s="15"/>
      <c r="M35" s="15"/>
      <c r="N35" s="15"/>
      <c r="O35" s="15"/>
      <c r="P35" s="15"/>
      <c r="Q35" s="15"/>
      <c r="R35" s="15"/>
      <c r="S35" s="15"/>
      <c r="T35" s="15"/>
      <c r="U35" s="16"/>
      <c r="V35" s="24">
        <v>33</v>
      </c>
      <c r="W35" s="11" t="s">
        <v>11</v>
      </c>
      <c r="X35" s="11" t="s">
        <v>241</v>
      </c>
      <c r="Y35" s="16">
        <v>0.85</v>
      </c>
      <c r="Z35" s="14"/>
      <c r="AA35" s="14"/>
    </row>
    <row r="36" spans="1:27">
      <c r="A36" s="11" t="s">
        <v>334</v>
      </c>
      <c r="B36" s="13">
        <v>60000</v>
      </c>
      <c r="C36" s="13">
        <v>9000</v>
      </c>
      <c r="D36" s="13">
        <v>51000</v>
      </c>
      <c r="E36" s="11" t="s">
        <v>232</v>
      </c>
      <c r="F36" s="11" t="s">
        <v>335</v>
      </c>
      <c r="G36" s="11" t="s">
        <v>336</v>
      </c>
      <c r="H36" s="11" t="str">
        <f t="shared" si="0"/>
        <v>Prospeccao controlada</v>
      </c>
      <c r="I36" s="11" t="s">
        <v>253</v>
      </c>
      <c r="J36" s="14"/>
      <c r="K36" s="15"/>
      <c r="L36" s="15"/>
      <c r="M36" s="15"/>
      <c r="N36" s="15"/>
      <c r="O36" s="15"/>
      <c r="P36" s="15"/>
      <c r="Q36" s="15"/>
      <c r="R36" s="15"/>
      <c r="S36" s="15"/>
      <c r="T36" s="15"/>
      <c r="U36" s="16"/>
      <c r="V36" s="24">
        <v>41</v>
      </c>
      <c r="W36" s="11" t="s">
        <v>11</v>
      </c>
      <c r="X36" s="11" t="s">
        <v>241</v>
      </c>
      <c r="Y36" s="16">
        <v>0.85</v>
      </c>
      <c r="Z36" s="14"/>
      <c r="AA36" s="14"/>
    </row>
    <row r="37" spans="1:27">
      <c r="A37" s="11" t="s">
        <v>337</v>
      </c>
      <c r="B37" s="13">
        <v>35000</v>
      </c>
      <c r="C37" s="13">
        <v>5250</v>
      </c>
      <c r="D37" s="13">
        <v>29750</v>
      </c>
      <c r="E37" s="11" t="s">
        <v>232</v>
      </c>
      <c r="F37" s="11" t="s">
        <v>338</v>
      </c>
      <c r="G37" s="11" t="s">
        <v>339</v>
      </c>
      <c r="H37" s="11" t="str">
        <f t="shared" si="0"/>
        <v>Prospeccao controlada</v>
      </c>
      <c r="I37" s="11" t="s">
        <v>253</v>
      </c>
      <c r="J37" s="14"/>
      <c r="K37" s="15"/>
      <c r="L37" s="15"/>
      <c r="M37" s="15"/>
      <c r="N37" s="15"/>
      <c r="O37" s="15"/>
      <c r="P37" s="15"/>
      <c r="Q37" s="15"/>
      <c r="R37" s="15"/>
      <c r="S37" s="15"/>
      <c r="T37" s="15"/>
      <c r="U37" s="16"/>
      <c r="V37" s="24">
        <v>37</v>
      </c>
      <c r="W37" s="11" t="s">
        <v>11</v>
      </c>
      <c r="X37" s="11" t="s">
        <v>241</v>
      </c>
      <c r="Y37" s="16">
        <v>0.85</v>
      </c>
      <c r="Z37" s="14"/>
      <c r="AA37" s="14"/>
    </row>
    <row r="38" spans="1:27">
      <c r="A38" s="11" t="s">
        <v>340</v>
      </c>
      <c r="B38" s="13">
        <v>50000</v>
      </c>
      <c r="C38" s="13">
        <v>7500</v>
      </c>
      <c r="D38" s="13">
        <v>42500</v>
      </c>
      <c r="E38" s="11" t="s">
        <v>232</v>
      </c>
      <c r="F38" s="11" t="s">
        <v>341</v>
      </c>
      <c r="G38" s="11" t="s">
        <v>342</v>
      </c>
      <c r="H38" s="11" t="str">
        <f t="shared" si="0"/>
        <v>Prospeccao controlada</v>
      </c>
      <c r="I38" s="11" t="s">
        <v>253</v>
      </c>
      <c r="J38" s="14"/>
      <c r="K38" s="15"/>
      <c r="L38" s="15"/>
      <c r="M38" s="15"/>
      <c r="N38" s="15"/>
      <c r="O38" s="15"/>
      <c r="P38" s="15"/>
      <c r="Q38" s="15"/>
      <c r="R38" s="15"/>
      <c r="S38" s="15"/>
      <c r="T38" s="15"/>
      <c r="U38" s="16"/>
      <c r="V38" s="24">
        <v>43</v>
      </c>
      <c r="W38" s="11" t="s">
        <v>11</v>
      </c>
      <c r="X38" s="11" t="s">
        <v>241</v>
      </c>
      <c r="Y38" s="16">
        <v>0.85</v>
      </c>
      <c r="Z38" s="14"/>
      <c r="AA38" s="14"/>
    </row>
    <row r="39" spans="1:27">
      <c r="A39" s="11" t="s">
        <v>343</v>
      </c>
      <c r="B39" s="13">
        <v>155000</v>
      </c>
      <c r="C39" s="13">
        <v>23250</v>
      </c>
      <c r="D39" s="13">
        <v>131750</v>
      </c>
      <c r="E39" s="11" t="s">
        <v>232</v>
      </c>
      <c r="F39" s="11" t="s">
        <v>344</v>
      </c>
      <c r="G39" s="11" t="s">
        <v>345</v>
      </c>
      <c r="H39" s="11" t="str">
        <f t="shared" si="0"/>
        <v>Prospeccao controlada</v>
      </c>
      <c r="I39" s="11" t="s">
        <v>253</v>
      </c>
      <c r="J39" s="14"/>
      <c r="K39" s="15"/>
      <c r="L39" s="15"/>
      <c r="M39" s="15"/>
      <c r="N39" s="15"/>
      <c r="O39" s="15"/>
      <c r="P39" s="15"/>
      <c r="Q39" s="15"/>
      <c r="R39" s="15"/>
      <c r="S39" s="15"/>
      <c r="T39" s="15"/>
      <c r="U39" s="16"/>
      <c r="V39" s="24">
        <v>48</v>
      </c>
      <c r="W39" s="11" t="s">
        <v>11</v>
      </c>
      <c r="X39" s="11" t="s">
        <v>241</v>
      </c>
      <c r="Y39" s="16">
        <v>0.85</v>
      </c>
      <c r="Z39" s="14"/>
      <c r="AA39" s="14"/>
    </row>
    <row r="40" spans="1:27">
      <c r="A40" s="11" t="s">
        <v>346</v>
      </c>
      <c r="B40" s="13">
        <v>1000000</v>
      </c>
      <c r="C40" s="13">
        <v>150000</v>
      </c>
      <c r="D40" s="13">
        <v>850000</v>
      </c>
      <c r="E40" s="11" t="s">
        <v>243</v>
      </c>
      <c r="F40" s="11" t="s">
        <v>347</v>
      </c>
      <c r="G40" s="11" t="s">
        <v>348</v>
      </c>
      <c r="H40" s="11" t="str">
        <f t="shared" si="0"/>
        <v>Plano executivo obrigatorio</v>
      </c>
      <c r="I40" s="11" t="s">
        <v>253</v>
      </c>
      <c r="J40" s="14"/>
      <c r="K40" s="15"/>
      <c r="L40" s="15"/>
      <c r="M40" s="15"/>
      <c r="N40" s="15"/>
      <c r="O40" s="15"/>
      <c r="P40" s="15"/>
      <c r="Q40" s="15"/>
      <c r="R40" s="15"/>
      <c r="S40" s="15"/>
      <c r="T40" s="15"/>
      <c r="U40" s="16"/>
      <c r="V40" s="24">
        <v>95</v>
      </c>
      <c r="W40" s="11" t="s">
        <v>19</v>
      </c>
      <c r="X40" s="11" t="s">
        <v>349</v>
      </c>
      <c r="Y40" s="16">
        <v>1.25</v>
      </c>
      <c r="Z40" s="14"/>
      <c r="AA40" s="14"/>
    </row>
    <row r="41" spans="1:27">
      <c r="A41" s="11" t="s">
        <v>350</v>
      </c>
      <c r="B41" s="13">
        <v>40000</v>
      </c>
      <c r="C41" s="13">
        <v>6000</v>
      </c>
      <c r="D41" s="13">
        <v>34000</v>
      </c>
      <c r="E41" s="11" t="s">
        <v>232</v>
      </c>
      <c r="F41" s="11" t="s">
        <v>338</v>
      </c>
      <c r="G41" s="11" t="s">
        <v>351</v>
      </c>
      <c r="H41" s="11" t="str">
        <f t="shared" si="0"/>
        <v>Prospeccao controlada</v>
      </c>
      <c r="I41" s="11" t="s">
        <v>253</v>
      </c>
      <c r="J41" s="14"/>
      <c r="K41" s="15"/>
      <c r="L41" s="15"/>
      <c r="M41" s="15"/>
      <c r="N41" s="15"/>
      <c r="O41" s="15"/>
      <c r="P41" s="15"/>
      <c r="Q41" s="15"/>
      <c r="R41" s="15"/>
      <c r="S41" s="15"/>
      <c r="T41" s="15"/>
      <c r="U41" s="16"/>
      <c r="V41" s="24">
        <v>39</v>
      </c>
      <c r="W41" s="11" t="s">
        <v>11</v>
      </c>
      <c r="X41" s="11" t="s">
        <v>241</v>
      </c>
      <c r="Y41" s="16">
        <v>0.85</v>
      </c>
      <c r="Z41" s="14"/>
      <c r="AA41" s="14"/>
    </row>
    <row r="42" spans="1:27">
      <c r="A42" s="11" t="s">
        <v>352</v>
      </c>
      <c r="B42" s="13">
        <v>90000</v>
      </c>
      <c r="C42" s="13">
        <v>13500</v>
      </c>
      <c r="D42" s="13">
        <v>76500</v>
      </c>
      <c r="E42" s="11" t="s">
        <v>232</v>
      </c>
      <c r="F42" s="11" t="s">
        <v>353</v>
      </c>
      <c r="G42" s="11" t="s">
        <v>351</v>
      </c>
      <c r="H42" s="11" t="str">
        <f t="shared" si="0"/>
        <v>Prospeccao controlada</v>
      </c>
      <c r="I42" s="11" t="s">
        <v>253</v>
      </c>
      <c r="J42" s="14"/>
      <c r="K42" s="15"/>
      <c r="L42" s="15"/>
      <c r="M42" s="15"/>
      <c r="N42" s="15"/>
      <c r="O42" s="15"/>
      <c r="P42" s="15"/>
      <c r="Q42" s="15"/>
      <c r="R42" s="15"/>
      <c r="S42" s="15"/>
      <c r="T42" s="15"/>
      <c r="U42" s="16"/>
      <c r="V42" s="24">
        <v>47</v>
      </c>
      <c r="W42" s="11" t="s">
        <v>11</v>
      </c>
      <c r="X42" s="11" t="s">
        <v>241</v>
      </c>
      <c r="Y42" s="16">
        <v>0.85</v>
      </c>
      <c r="Z42" s="14"/>
      <c r="AA42" s="14"/>
    </row>
    <row r="43" spans="1:27">
      <c r="A43" s="11" t="s">
        <v>354</v>
      </c>
      <c r="B43" s="13">
        <v>30000</v>
      </c>
      <c r="C43" s="13">
        <v>4500</v>
      </c>
      <c r="D43" s="13">
        <v>25500</v>
      </c>
      <c r="E43" s="11" t="s">
        <v>232</v>
      </c>
      <c r="F43" s="11" t="s">
        <v>355</v>
      </c>
      <c r="G43" s="11" t="s">
        <v>356</v>
      </c>
      <c r="H43" s="11" t="str">
        <f t="shared" si="0"/>
        <v>Prospeccao controlada</v>
      </c>
      <c r="I43" s="11" t="s">
        <v>253</v>
      </c>
      <c r="J43" s="14"/>
      <c r="K43" s="15"/>
      <c r="L43" s="15"/>
      <c r="M43" s="15"/>
      <c r="N43" s="15"/>
      <c r="O43" s="15"/>
      <c r="P43" s="15"/>
      <c r="Q43" s="15"/>
      <c r="R43" s="15"/>
      <c r="S43" s="15"/>
      <c r="T43" s="15"/>
      <c r="U43" s="16"/>
      <c r="V43" s="24">
        <v>37</v>
      </c>
      <c r="W43" s="11" t="s">
        <v>11</v>
      </c>
      <c r="X43" s="11" t="s">
        <v>241</v>
      </c>
      <c r="Y43" s="16">
        <v>0.85</v>
      </c>
      <c r="Z43" s="14"/>
      <c r="AA43" s="14"/>
    </row>
    <row r="44" spans="1:27">
      <c r="A44" s="11" t="s">
        <v>357</v>
      </c>
      <c r="B44" s="13">
        <v>20000</v>
      </c>
      <c r="C44" s="13">
        <v>3000</v>
      </c>
      <c r="D44" s="13">
        <v>17000</v>
      </c>
      <c r="E44" s="11" t="s">
        <v>238</v>
      </c>
      <c r="F44" s="11" t="s">
        <v>358</v>
      </c>
      <c r="G44" s="11" t="s">
        <v>359</v>
      </c>
      <c r="H44" s="11" t="str">
        <f t="shared" si="0"/>
        <v>Prospeccao controlada</v>
      </c>
      <c r="I44" s="11" t="s">
        <v>253</v>
      </c>
      <c r="J44" s="14"/>
      <c r="K44" s="15"/>
      <c r="L44" s="15"/>
      <c r="M44" s="15"/>
      <c r="N44" s="15"/>
      <c r="O44" s="15"/>
      <c r="P44" s="15"/>
      <c r="Q44" s="15"/>
      <c r="R44" s="15"/>
      <c r="S44" s="15"/>
      <c r="T44" s="15"/>
      <c r="U44" s="16"/>
      <c r="V44" s="24">
        <v>33</v>
      </c>
      <c r="W44" s="11" t="s">
        <v>11</v>
      </c>
      <c r="X44" s="11" t="s">
        <v>241</v>
      </c>
      <c r="Y44" s="16">
        <v>0.85</v>
      </c>
      <c r="Z44" s="14"/>
      <c r="AA44" s="14"/>
    </row>
    <row r="45" spans="1:27">
      <c r="A45" s="11" t="s">
        <v>360</v>
      </c>
      <c r="B45" s="13">
        <v>115000</v>
      </c>
      <c r="C45" s="13">
        <v>17250</v>
      </c>
      <c r="D45" s="13">
        <v>97750</v>
      </c>
      <c r="E45" s="11" t="s">
        <v>232</v>
      </c>
      <c r="F45" s="11" t="s">
        <v>355</v>
      </c>
      <c r="G45" s="11" t="s">
        <v>356</v>
      </c>
      <c r="H45" s="11" t="str">
        <f t="shared" si="0"/>
        <v>Prospeccao controlada</v>
      </c>
      <c r="I45" s="11" t="s">
        <v>253</v>
      </c>
      <c r="J45" s="14"/>
      <c r="K45" s="15"/>
      <c r="L45" s="15"/>
      <c r="M45" s="15"/>
      <c r="N45" s="15"/>
      <c r="O45" s="15"/>
      <c r="P45" s="15"/>
      <c r="Q45" s="15"/>
      <c r="R45" s="15"/>
      <c r="S45" s="15"/>
      <c r="T45" s="15"/>
      <c r="U45" s="16"/>
      <c r="V45" s="24">
        <v>45</v>
      </c>
      <c r="W45" s="11" t="s">
        <v>11</v>
      </c>
      <c r="X45" s="11" t="s">
        <v>241</v>
      </c>
      <c r="Y45" s="16">
        <v>0.85</v>
      </c>
      <c r="Z45" s="14"/>
      <c r="AA45" s="14"/>
    </row>
    <row r="46" spans="1:27">
      <c r="A46" s="11" t="s">
        <v>361</v>
      </c>
      <c r="B46" s="13">
        <v>15000</v>
      </c>
      <c r="C46" s="13">
        <v>2250</v>
      </c>
      <c r="D46" s="13">
        <v>12750</v>
      </c>
      <c r="E46" s="11" t="s">
        <v>243</v>
      </c>
      <c r="F46" s="11" t="s">
        <v>362</v>
      </c>
      <c r="G46" s="11" t="s">
        <v>363</v>
      </c>
      <c r="H46" s="11" t="str">
        <f t="shared" si="0"/>
        <v>Plano executivo obrigatorio</v>
      </c>
      <c r="I46" s="11" t="s">
        <v>253</v>
      </c>
      <c r="J46" s="14"/>
      <c r="K46" s="15"/>
      <c r="L46" s="15"/>
      <c r="M46" s="15"/>
      <c r="N46" s="15"/>
      <c r="O46" s="15"/>
      <c r="P46" s="15"/>
      <c r="Q46" s="15"/>
      <c r="R46" s="15"/>
      <c r="S46" s="15"/>
      <c r="T46" s="15"/>
      <c r="U46" s="16"/>
      <c r="V46" s="24">
        <v>83</v>
      </c>
      <c r="W46" s="11" t="s">
        <v>17</v>
      </c>
      <c r="X46" s="11" t="s">
        <v>260</v>
      </c>
      <c r="Y46" s="16">
        <v>1.1499999999999999</v>
      </c>
      <c r="Z46" s="14"/>
      <c r="AA46" s="14"/>
    </row>
    <row r="47" spans="1:27">
      <c r="A47" s="11" t="s">
        <v>364</v>
      </c>
      <c r="B47" s="13">
        <v>200000</v>
      </c>
      <c r="C47" s="13">
        <v>30000</v>
      </c>
      <c r="D47" s="13">
        <v>170000</v>
      </c>
      <c r="E47" s="11" t="s">
        <v>238</v>
      </c>
      <c r="F47" s="11" t="s">
        <v>365</v>
      </c>
      <c r="G47" s="11" t="s">
        <v>359</v>
      </c>
      <c r="H47" s="11" t="str">
        <f t="shared" si="0"/>
        <v>Plano executivo obrigatorio</v>
      </c>
      <c r="I47" s="11" t="s">
        <v>253</v>
      </c>
      <c r="J47" s="14"/>
      <c r="K47" s="15"/>
      <c r="L47" s="15"/>
      <c r="M47" s="15"/>
      <c r="N47" s="15"/>
      <c r="O47" s="15"/>
      <c r="P47" s="15"/>
      <c r="Q47" s="15"/>
      <c r="R47" s="15"/>
      <c r="S47" s="15"/>
      <c r="T47" s="15"/>
      <c r="U47" s="16"/>
      <c r="V47" s="24">
        <v>89</v>
      </c>
      <c r="W47" s="11" t="s">
        <v>19</v>
      </c>
      <c r="X47" s="11" t="s">
        <v>260</v>
      </c>
      <c r="Y47" s="16">
        <v>1.25</v>
      </c>
      <c r="Z47" s="14"/>
      <c r="AA47" s="14"/>
    </row>
    <row r="48" spans="1:27">
      <c r="A48" s="11" t="s">
        <v>366</v>
      </c>
      <c r="B48" s="13">
        <v>40000</v>
      </c>
      <c r="C48" s="13">
        <v>6000</v>
      </c>
      <c r="D48" s="13">
        <v>34000</v>
      </c>
      <c r="E48" s="11" t="s">
        <v>232</v>
      </c>
      <c r="F48" s="11" t="s">
        <v>367</v>
      </c>
      <c r="G48" s="11" t="s">
        <v>368</v>
      </c>
      <c r="H48" s="11" t="str">
        <f t="shared" si="0"/>
        <v>Plano executivo obrigatorio</v>
      </c>
      <c r="I48" s="11" t="s">
        <v>253</v>
      </c>
      <c r="J48" s="14"/>
      <c r="K48" s="15"/>
      <c r="L48" s="15"/>
      <c r="M48" s="15"/>
      <c r="N48" s="15"/>
      <c r="O48" s="15"/>
      <c r="P48" s="15"/>
      <c r="Q48" s="15"/>
      <c r="R48" s="15"/>
      <c r="S48" s="15"/>
      <c r="T48" s="15"/>
      <c r="U48" s="16"/>
      <c r="V48" s="24">
        <v>89</v>
      </c>
      <c r="W48" s="11" t="s">
        <v>19</v>
      </c>
      <c r="X48" s="11" t="s">
        <v>246</v>
      </c>
      <c r="Y48" s="16">
        <v>1.25</v>
      </c>
      <c r="Z48" s="14"/>
      <c r="AA48" s="14"/>
    </row>
    <row r="49" spans="1:27">
      <c r="A49" s="11"/>
      <c r="B49" s="13"/>
      <c r="C49" s="13"/>
      <c r="D49" s="13"/>
      <c r="E49" s="11"/>
      <c r="F49" s="11"/>
      <c r="G49" s="11"/>
      <c r="H49" s="11"/>
      <c r="I49" s="11"/>
      <c r="J49" s="14"/>
      <c r="K49" s="15"/>
      <c r="L49" s="15"/>
      <c r="M49" s="15"/>
      <c r="N49" s="15"/>
      <c r="O49" s="15"/>
      <c r="P49" s="15"/>
      <c r="Q49" s="15"/>
      <c r="R49" s="15"/>
      <c r="S49" s="15"/>
      <c r="T49" s="15"/>
      <c r="U49" s="16"/>
      <c r="V49" s="24"/>
      <c r="W49" s="11"/>
      <c r="X49" s="11"/>
      <c r="Y49" s="16"/>
      <c r="Z49" s="14"/>
      <c r="AA49" s="14"/>
    </row>
  </sheetData>
  <mergeCells count="2">
    <mergeCell ref="A1:M1"/>
    <mergeCell ref="A2:M2"/>
  </mergeCells>
  <conditionalFormatting sqref="W5:W49">
    <cfRule type="containsText" dxfId="5" priority="1" operator="containsText" text="LEGACY"/>
    <cfRule type="containsText" dxfId="4" priority="2" operator="containsText" text="PRIME"/>
  </conditionalFormatting>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U49"/>
  <sheetViews>
    <sheetView showGridLines="0" zoomScale="70" zoomScaleNormal="70" workbookViewId="0">
      <selection activeCell="F5" sqref="F5"/>
    </sheetView>
  </sheetViews>
  <sheetFormatPr defaultRowHeight="13.8"/>
  <cols>
    <col min="1" max="1" width="28.69921875" customWidth="1"/>
    <col min="2" max="3" width="16.8984375" customWidth="1"/>
    <col min="4" max="4" width="15" customWidth="1"/>
    <col min="5" max="5" width="16.8984375" customWidth="1"/>
    <col min="6" max="6" width="15" customWidth="1"/>
    <col min="7" max="7" width="17.5" customWidth="1"/>
    <col min="8" max="8" width="22.5" customWidth="1"/>
    <col min="9" max="9" width="30" customWidth="1"/>
    <col min="10" max="10" width="26.19921875" customWidth="1"/>
    <col min="11" max="11" width="28.69921875" customWidth="1"/>
    <col min="12" max="12" width="45" customWidth="1"/>
    <col min="13" max="13" width="18.69921875" customWidth="1"/>
    <col min="16" max="16" width="11.8984375" bestFit="1" customWidth="1"/>
    <col min="18" max="18" width="12.19921875" bestFit="1" customWidth="1"/>
    <col min="19" max="19" width="10.19921875" bestFit="1" customWidth="1"/>
    <col min="20" max="20" width="32" bestFit="1" customWidth="1"/>
    <col min="21" max="21" width="57.19921875" bestFit="1" customWidth="1"/>
  </cols>
  <sheetData>
    <row r="1" spans="1:21">
      <c r="A1" s="35" t="s">
        <v>370</v>
      </c>
      <c r="B1" s="36"/>
      <c r="C1" s="36"/>
      <c r="D1" s="36"/>
      <c r="E1" s="36"/>
      <c r="F1" s="36"/>
      <c r="G1" s="36"/>
      <c r="H1" s="36"/>
      <c r="I1" s="36"/>
      <c r="J1" s="36"/>
      <c r="K1" s="36"/>
      <c r="L1" s="36"/>
      <c r="M1" s="36"/>
    </row>
    <row r="2" spans="1:21">
      <c r="A2" s="37" t="s">
        <v>371</v>
      </c>
      <c r="B2" s="36"/>
      <c r="C2" s="36"/>
      <c r="D2" s="36"/>
      <c r="E2" s="36"/>
      <c r="F2" s="36"/>
      <c r="G2" s="36"/>
      <c r="H2" s="36"/>
      <c r="I2" s="36"/>
      <c r="J2" s="36"/>
      <c r="K2" s="36"/>
      <c r="L2" s="36"/>
      <c r="M2" s="36"/>
    </row>
    <row r="3" spans="1:21">
      <c r="A3" s="4"/>
      <c r="B3" s="4"/>
      <c r="C3" s="4"/>
      <c r="D3" s="4"/>
      <c r="E3" s="4"/>
      <c r="F3" s="4"/>
      <c r="G3" s="4"/>
      <c r="H3" s="4"/>
      <c r="I3" s="4"/>
      <c r="J3" s="4"/>
      <c r="K3" s="4"/>
      <c r="L3" s="4"/>
      <c r="M3" s="4"/>
    </row>
    <row r="4" spans="1:21" ht="41.4">
      <c r="A4" s="2" t="s">
        <v>205</v>
      </c>
      <c r="B4" s="2" t="s">
        <v>372</v>
      </c>
      <c r="C4" s="2" t="s">
        <v>373</v>
      </c>
      <c r="D4" s="2" t="s">
        <v>226</v>
      </c>
      <c r="E4" s="2" t="s">
        <v>374</v>
      </c>
      <c r="F4" s="2" t="s">
        <v>225</v>
      </c>
      <c r="G4" s="2" t="s">
        <v>7</v>
      </c>
      <c r="H4" s="2" t="s">
        <v>375</v>
      </c>
      <c r="I4" s="2" t="s">
        <v>376</v>
      </c>
      <c r="J4" s="2" t="s">
        <v>377</v>
      </c>
      <c r="K4" s="2" t="s">
        <v>378</v>
      </c>
      <c r="L4" s="2" t="s">
        <v>379</v>
      </c>
      <c r="M4" s="2" t="s">
        <v>69</v>
      </c>
      <c r="N4" s="20" t="s">
        <v>380</v>
      </c>
      <c r="O4" s="20" t="s">
        <v>381</v>
      </c>
      <c r="P4" s="20" t="s">
        <v>382</v>
      </c>
      <c r="Q4" s="20" t="s">
        <v>383</v>
      </c>
      <c r="R4" s="20" t="s">
        <v>384</v>
      </c>
      <c r="S4" s="20" t="s">
        <v>385</v>
      </c>
      <c r="T4" s="20" t="s">
        <v>8</v>
      </c>
      <c r="U4" s="20" t="s">
        <v>386</v>
      </c>
    </row>
    <row r="5" spans="1:21" ht="55.2">
      <c r="A5" s="4" t="s">
        <v>325</v>
      </c>
      <c r="B5" s="4" t="s">
        <v>387</v>
      </c>
      <c r="C5" s="4" t="s">
        <v>388</v>
      </c>
      <c r="D5" s="4" t="s">
        <v>19</v>
      </c>
      <c r="E5" s="4" t="s">
        <v>246</v>
      </c>
      <c r="F5" s="9">
        <v>93</v>
      </c>
      <c r="G5" s="5">
        <v>54312.5</v>
      </c>
      <c r="H5" s="4" t="s">
        <v>389</v>
      </c>
      <c r="I5" s="4" t="s">
        <v>390</v>
      </c>
      <c r="J5" s="4" t="s">
        <v>391</v>
      </c>
      <c r="K5" s="4" t="s">
        <v>392</v>
      </c>
      <c r="L5" s="4" t="s">
        <v>393</v>
      </c>
      <c r="M5" s="4" t="s">
        <v>394</v>
      </c>
      <c r="N5" s="18">
        <v>18</v>
      </c>
      <c r="O5" s="18">
        <v>15</v>
      </c>
      <c r="P5" s="18">
        <v>25</v>
      </c>
      <c r="Q5" s="18">
        <v>15</v>
      </c>
      <c r="R5" s="18">
        <v>20</v>
      </c>
      <c r="S5" s="18">
        <v>93</v>
      </c>
      <c r="T5" t="s">
        <v>12</v>
      </c>
      <c r="U5" t="s">
        <v>395</v>
      </c>
    </row>
    <row r="6" spans="1:21" ht="41.4">
      <c r="A6" s="4" t="s">
        <v>257</v>
      </c>
      <c r="B6" s="4" t="s">
        <v>387</v>
      </c>
      <c r="C6" s="4" t="s">
        <v>388</v>
      </c>
      <c r="D6" s="4" t="s">
        <v>19</v>
      </c>
      <c r="E6" s="4" t="s">
        <v>260</v>
      </c>
      <c r="F6" s="9">
        <v>97</v>
      </c>
      <c r="G6" s="5">
        <v>72625</v>
      </c>
      <c r="H6" s="4" t="s">
        <v>389</v>
      </c>
      <c r="I6" s="4" t="s">
        <v>390</v>
      </c>
      <c r="J6" s="4" t="s">
        <v>391</v>
      </c>
      <c r="K6" s="4" t="s">
        <v>392</v>
      </c>
      <c r="L6" s="4" t="s">
        <v>396</v>
      </c>
      <c r="M6" s="4" t="s">
        <v>394</v>
      </c>
      <c r="N6" s="18">
        <v>22</v>
      </c>
      <c r="O6" s="18">
        <v>15</v>
      </c>
      <c r="P6" s="18">
        <v>25</v>
      </c>
      <c r="Q6" s="18">
        <v>15</v>
      </c>
      <c r="R6" s="18">
        <v>20</v>
      </c>
      <c r="S6" s="18">
        <v>97</v>
      </c>
      <c r="T6" t="s">
        <v>12</v>
      </c>
      <c r="U6" t="s">
        <v>395</v>
      </c>
    </row>
    <row r="7" spans="1:21" ht="41.4">
      <c r="A7" s="4" t="s">
        <v>310</v>
      </c>
      <c r="B7" s="4" t="s">
        <v>387</v>
      </c>
      <c r="C7" s="4" t="s">
        <v>388</v>
      </c>
      <c r="D7" s="4" t="s">
        <v>19</v>
      </c>
      <c r="E7" s="4" t="s">
        <v>246</v>
      </c>
      <c r="F7" s="9">
        <v>97</v>
      </c>
      <c r="G7" s="5">
        <v>27625</v>
      </c>
      <c r="H7" s="4" t="s">
        <v>389</v>
      </c>
      <c r="I7" s="4" t="s">
        <v>390</v>
      </c>
      <c r="J7" s="4" t="s">
        <v>391</v>
      </c>
      <c r="K7" s="4" t="s">
        <v>392</v>
      </c>
      <c r="L7" s="4" t="s">
        <v>397</v>
      </c>
      <c r="M7" s="4" t="s">
        <v>394</v>
      </c>
      <c r="N7" s="18">
        <v>22</v>
      </c>
      <c r="O7" s="18">
        <v>15</v>
      </c>
      <c r="P7" s="18">
        <v>25</v>
      </c>
      <c r="Q7" s="18">
        <v>15</v>
      </c>
      <c r="R7" s="18">
        <v>20</v>
      </c>
      <c r="S7" s="18">
        <v>97</v>
      </c>
      <c r="T7" t="s">
        <v>12</v>
      </c>
      <c r="U7" t="s">
        <v>395</v>
      </c>
    </row>
    <row r="8" spans="1:21" ht="41.4">
      <c r="A8" s="4" t="s">
        <v>242</v>
      </c>
      <c r="B8" s="4" t="s">
        <v>387</v>
      </c>
      <c r="C8" s="4" t="s">
        <v>388</v>
      </c>
      <c r="D8" s="4" t="s">
        <v>19</v>
      </c>
      <c r="E8" s="4" t="s">
        <v>246</v>
      </c>
      <c r="F8" s="9">
        <v>89</v>
      </c>
      <c r="G8" s="5">
        <v>30250</v>
      </c>
      <c r="H8" s="4" t="s">
        <v>389</v>
      </c>
      <c r="I8" s="4" t="s">
        <v>390</v>
      </c>
      <c r="J8" s="4" t="s">
        <v>391</v>
      </c>
      <c r="K8" s="4" t="s">
        <v>392</v>
      </c>
      <c r="L8" s="4" t="s">
        <v>398</v>
      </c>
      <c r="M8" s="4" t="s">
        <v>394</v>
      </c>
      <c r="N8" s="18">
        <v>14</v>
      </c>
      <c r="O8" s="18">
        <v>15</v>
      </c>
      <c r="P8" s="18">
        <v>25</v>
      </c>
      <c r="Q8" s="18">
        <v>15</v>
      </c>
      <c r="R8" s="18">
        <v>20</v>
      </c>
      <c r="S8" s="18">
        <v>89</v>
      </c>
      <c r="T8" t="s">
        <v>12</v>
      </c>
      <c r="U8" t="s">
        <v>395</v>
      </c>
    </row>
    <row r="9" spans="1:21" ht="41.4">
      <c r="A9" s="4" t="s">
        <v>366</v>
      </c>
      <c r="B9" s="4" t="s">
        <v>387</v>
      </c>
      <c r="C9" s="4" t="s">
        <v>388</v>
      </c>
      <c r="D9" s="4" t="s">
        <v>19</v>
      </c>
      <c r="E9" s="4" t="s">
        <v>246</v>
      </c>
      <c r="F9" s="9">
        <v>89</v>
      </c>
      <c r="G9" s="5">
        <v>34250</v>
      </c>
      <c r="H9" s="4" t="s">
        <v>389</v>
      </c>
      <c r="I9" s="4" t="s">
        <v>390</v>
      </c>
      <c r="J9" s="4" t="s">
        <v>391</v>
      </c>
      <c r="K9" s="4" t="s">
        <v>392</v>
      </c>
      <c r="L9" s="4" t="s">
        <v>399</v>
      </c>
      <c r="M9" s="4" t="s">
        <v>394</v>
      </c>
      <c r="N9" s="18">
        <v>14</v>
      </c>
      <c r="O9" s="18">
        <v>15</v>
      </c>
      <c r="P9" s="18">
        <v>25</v>
      </c>
      <c r="Q9" s="18">
        <v>15</v>
      </c>
      <c r="R9" s="18">
        <v>20</v>
      </c>
      <c r="S9" s="18">
        <v>89</v>
      </c>
      <c r="T9" t="s">
        <v>12</v>
      </c>
      <c r="U9" t="s">
        <v>395</v>
      </c>
    </row>
    <row r="10" spans="1:21" ht="41.4">
      <c r="A10" s="4" t="s">
        <v>283</v>
      </c>
      <c r="B10" s="4" t="s">
        <v>387</v>
      </c>
      <c r="C10" s="4" t="s">
        <v>388</v>
      </c>
      <c r="D10" s="4" t="s">
        <v>19</v>
      </c>
      <c r="E10" s="4" t="s">
        <v>246</v>
      </c>
      <c r="F10" s="9">
        <v>93</v>
      </c>
      <c r="G10" s="5">
        <v>28750</v>
      </c>
      <c r="H10" s="4" t="s">
        <v>389</v>
      </c>
      <c r="I10" s="4" t="s">
        <v>390</v>
      </c>
      <c r="J10" s="4" t="s">
        <v>391</v>
      </c>
      <c r="K10" s="4" t="s">
        <v>392</v>
      </c>
      <c r="L10" s="4" t="s">
        <v>400</v>
      </c>
      <c r="M10" s="4" t="s">
        <v>394</v>
      </c>
      <c r="N10" s="18">
        <v>18</v>
      </c>
      <c r="O10" s="18">
        <v>15</v>
      </c>
      <c r="P10" s="18">
        <v>25</v>
      </c>
      <c r="Q10" s="18">
        <v>15</v>
      </c>
      <c r="R10" s="18">
        <v>20</v>
      </c>
      <c r="S10" s="18">
        <v>93</v>
      </c>
      <c r="T10" t="s">
        <v>12</v>
      </c>
      <c r="U10" t="s">
        <v>395</v>
      </c>
    </row>
    <row r="11" spans="1:21" ht="41.4">
      <c r="A11" s="4" t="s">
        <v>346</v>
      </c>
      <c r="B11" s="4" t="s">
        <v>387</v>
      </c>
      <c r="C11" s="4" t="s">
        <v>401</v>
      </c>
      <c r="D11" s="4" t="s">
        <v>19</v>
      </c>
      <c r="E11" s="4" t="s">
        <v>349</v>
      </c>
      <c r="F11" s="9">
        <v>95</v>
      </c>
      <c r="G11" s="5">
        <v>23625</v>
      </c>
      <c r="H11" s="4" t="s">
        <v>389</v>
      </c>
      <c r="I11" s="4" t="s">
        <v>402</v>
      </c>
      <c r="J11" s="4" t="s">
        <v>403</v>
      </c>
      <c r="K11" s="4" t="s">
        <v>404</v>
      </c>
      <c r="L11" s="4" t="s">
        <v>405</v>
      </c>
      <c r="M11" s="4" t="s">
        <v>394</v>
      </c>
      <c r="N11" s="18">
        <v>25</v>
      </c>
      <c r="O11" s="18">
        <v>15</v>
      </c>
      <c r="P11" s="18">
        <v>23</v>
      </c>
      <c r="Q11" s="18">
        <v>12</v>
      </c>
      <c r="R11" s="18">
        <v>20</v>
      </c>
      <c r="S11" s="18">
        <v>95</v>
      </c>
      <c r="T11" t="s">
        <v>12</v>
      </c>
      <c r="U11" t="s">
        <v>406</v>
      </c>
    </row>
    <row r="12" spans="1:21" ht="41.4">
      <c r="A12" s="4" t="s">
        <v>267</v>
      </c>
      <c r="B12" s="4" t="s">
        <v>387</v>
      </c>
      <c r="C12" s="4" t="s">
        <v>388</v>
      </c>
      <c r="D12" s="4" t="s">
        <v>19</v>
      </c>
      <c r="E12" s="4" t="s">
        <v>260</v>
      </c>
      <c r="F12" s="9">
        <v>100</v>
      </c>
      <c r="G12" s="5">
        <v>24500</v>
      </c>
      <c r="H12" s="4" t="s">
        <v>389</v>
      </c>
      <c r="I12" s="4" t="s">
        <v>390</v>
      </c>
      <c r="J12" s="4" t="s">
        <v>391</v>
      </c>
      <c r="K12" s="4" t="s">
        <v>392</v>
      </c>
      <c r="L12" s="4" t="s">
        <v>407</v>
      </c>
      <c r="M12" s="4" t="s">
        <v>394</v>
      </c>
      <c r="N12" s="18">
        <v>25</v>
      </c>
      <c r="O12" s="18">
        <v>15</v>
      </c>
      <c r="P12" s="18">
        <v>25</v>
      </c>
      <c r="Q12" s="18">
        <v>15</v>
      </c>
      <c r="R12" s="18">
        <v>20</v>
      </c>
      <c r="S12" s="18">
        <v>100</v>
      </c>
      <c r="T12" t="s">
        <v>12</v>
      </c>
      <c r="U12" t="s">
        <v>395</v>
      </c>
    </row>
    <row r="13" spans="1:21" ht="41.4">
      <c r="A13" s="4" t="s">
        <v>295</v>
      </c>
      <c r="B13" s="4" t="s">
        <v>387</v>
      </c>
      <c r="C13" s="4" t="s">
        <v>388</v>
      </c>
      <c r="D13" s="4" t="s">
        <v>19</v>
      </c>
      <c r="E13" s="4" t="s">
        <v>260</v>
      </c>
      <c r="F13" s="9">
        <v>89</v>
      </c>
      <c r="G13" s="5">
        <v>31812.5</v>
      </c>
      <c r="H13" s="4" t="s">
        <v>389</v>
      </c>
      <c r="I13" s="4" t="s">
        <v>390</v>
      </c>
      <c r="J13" s="4" t="s">
        <v>391</v>
      </c>
      <c r="K13" s="4" t="s">
        <v>392</v>
      </c>
      <c r="L13" s="4" t="s">
        <v>408</v>
      </c>
      <c r="M13" s="4" t="s">
        <v>394</v>
      </c>
      <c r="N13" s="18">
        <v>14</v>
      </c>
      <c r="O13" s="18">
        <v>15</v>
      </c>
      <c r="P13" s="18">
        <v>25</v>
      </c>
      <c r="Q13" s="18">
        <v>15</v>
      </c>
      <c r="R13" s="18">
        <v>20</v>
      </c>
      <c r="S13" s="18">
        <v>89</v>
      </c>
      <c r="T13" t="s">
        <v>12</v>
      </c>
      <c r="U13" t="s">
        <v>395</v>
      </c>
    </row>
    <row r="14" spans="1:21" ht="41.4">
      <c r="A14" s="4" t="s">
        <v>274</v>
      </c>
      <c r="B14" s="4" t="s">
        <v>387</v>
      </c>
      <c r="C14" s="4" t="s">
        <v>388</v>
      </c>
      <c r="D14" s="4" t="s">
        <v>19</v>
      </c>
      <c r="E14" s="4" t="s">
        <v>260</v>
      </c>
      <c r="F14" s="9">
        <v>97</v>
      </c>
      <c r="G14" s="5">
        <v>30562.5</v>
      </c>
      <c r="H14" s="4" t="s">
        <v>389</v>
      </c>
      <c r="I14" s="4" t="s">
        <v>390</v>
      </c>
      <c r="J14" s="4" t="s">
        <v>391</v>
      </c>
      <c r="K14" s="4" t="s">
        <v>392</v>
      </c>
      <c r="L14" s="4" t="s">
        <v>409</v>
      </c>
      <c r="M14" s="4" t="s">
        <v>394</v>
      </c>
      <c r="N14" s="18">
        <v>22</v>
      </c>
      <c r="O14" s="18">
        <v>15</v>
      </c>
      <c r="P14" s="18">
        <v>25</v>
      </c>
      <c r="Q14" s="18">
        <v>15</v>
      </c>
      <c r="R14" s="18">
        <v>20</v>
      </c>
      <c r="S14" s="18">
        <v>97</v>
      </c>
      <c r="T14" t="s">
        <v>12</v>
      </c>
      <c r="U14" t="s">
        <v>395</v>
      </c>
    </row>
    <row r="15" spans="1:21" ht="41.4">
      <c r="A15" s="4" t="s">
        <v>304</v>
      </c>
      <c r="B15" s="4" t="s">
        <v>410</v>
      </c>
      <c r="C15" s="4" t="s">
        <v>388</v>
      </c>
      <c r="D15" s="4" t="s">
        <v>17</v>
      </c>
      <c r="E15" s="4" t="s">
        <v>236</v>
      </c>
      <c r="F15" s="9">
        <v>76</v>
      </c>
      <c r="G15" s="5">
        <v>23100</v>
      </c>
      <c r="H15" s="4" t="s">
        <v>389</v>
      </c>
      <c r="I15" s="4" t="s">
        <v>390</v>
      </c>
      <c r="J15" s="4" t="s">
        <v>411</v>
      </c>
      <c r="K15" s="4" t="s">
        <v>392</v>
      </c>
      <c r="L15" s="4" t="s">
        <v>412</v>
      </c>
      <c r="M15" s="4" t="s">
        <v>413</v>
      </c>
      <c r="N15" s="18">
        <v>18</v>
      </c>
      <c r="O15" s="18">
        <v>5</v>
      </c>
      <c r="P15" s="18">
        <v>25</v>
      </c>
      <c r="Q15" s="18">
        <v>10</v>
      </c>
      <c r="R15" s="18">
        <v>18</v>
      </c>
      <c r="S15" s="18">
        <v>76</v>
      </c>
      <c r="T15" t="s">
        <v>15</v>
      </c>
      <c r="U15" t="s">
        <v>414</v>
      </c>
    </row>
    <row r="16" spans="1:21" ht="41.4">
      <c r="A16" s="4" t="s">
        <v>301</v>
      </c>
      <c r="B16" s="4" t="s">
        <v>387</v>
      </c>
      <c r="C16" s="4" t="s">
        <v>388</v>
      </c>
      <c r="D16" s="4" t="s">
        <v>19</v>
      </c>
      <c r="E16" s="4" t="s">
        <v>260</v>
      </c>
      <c r="F16" s="9">
        <v>85</v>
      </c>
      <c r="G16" s="5">
        <v>16187.5</v>
      </c>
      <c r="H16" s="4" t="s">
        <v>389</v>
      </c>
      <c r="I16" s="4" t="s">
        <v>390</v>
      </c>
      <c r="J16" s="4" t="s">
        <v>391</v>
      </c>
      <c r="K16" s="4" t="s">
        <v>392</v>
      </c>
      <c r="L16" s="4" t="s">
        <v>415</v>
      </c>
      <c r="M16" s="4" t="s">
        <v>394</v>
      </c>
      <c r="N16" s="18">
        <v>10</v>
      </c>
      <c r="O16" s="18">
        <v>15</v>
      </c>
      <c r="P16" s="18">
        <v>25</v>
      </c>
      <c r="Q16" s="18">
        <v>15</v>
      </c>
      <c r="R16" s="18">
        <v>20</v>
      </c>
      <c r="S16" s="18">
        <v>85</v>
      </c>
      <c r="T16" t="s">
        <v>12</v>
      </c>
      <c r="U16" t="s">
        <v>395</v>
      </c>
    </row>
    <row r="17" spans="1:21" ht="41.4">
      <c r="A17" s="4" t="s">
        <v>361</v>
      </c>
      <c r="B17" s="4" t="s">
        <v>410</v>
      </c>
      <c r="C17" s="4" t="s">
        <v>388</v>
      </c>
      <c r="D17" s="4" t="s">
        <v>17</v>
      </c>
      <c r="E17" s="4" t="s">
        <v>260</v>
      </c>
      <c r="F17" s="9">
        <v>83</v>
      </c>
      <c r="G17" s="5">
        <v>21750</v>
      </c>
      <c r="H17" s="4" t="s">
        <v>389</v>
      </c>
      <c r="I17" s="4" t="s">
        <v>390</v>
      </c>
      <c r="J17" s="4" t="s">
        <v>391</v>
      </c>
      <c r="K17" s="4" t="s">
        <v>392</v>
      </c>
      <c r="L17" s="4" t="s">
        <v>416</v>
      </c>
      <c r="M17" s="4" t="s">
        <v>394</v>
      </c>
      <c r="N17" s="18">
        <v>10</v>
      </c>
      <c r="O17" s="18">
        <v>15</v>
      </c>
      <c r="P17" s="18">
        <v>25</v>
      </c>
      <c r="Q17" s="18">
        <v>13</v>
      </c>
      <c r="R17" s="18">
        <v>20</v>
      </c>
      <c r="S17" s="18">
        <v>83</v>
      </c>
      <c r="T17" t="s">
        <v>15</v>
      </c>
      <c r="U17" t="s">
        <v>414</v>
      </c>
    </row>
    <row r="18" spans="1:21" ht="55.2">
      <c r="A18" s="4" t="s">
        <v>261</v>
      </c>
      <c r="B18" s="4" t="s">
        <v>410</v>
      </c>
      <c r="C18" s="4" t="s">
        <v>417</v>
      </c>
      <c r="D18" s="4" t="s">
        <v>17</v>
      </c>
      <c r="E18" s="4" t="s">
        <v>260</v>
      </c>
      <c r="F18" s="9">
        <v>74</v>
      </c>
      <c r="G18" s="5">
        <v>26250</v>
      </c>
      <c r="H18" s="4" t="s">
        <v>418</v>
      </c>
      <c r="I18" s="4" t="s">
        <v>419</v>
      </c>
      <c r="J18" s="4" t="s">
        <v>391</v>
      </c>
      <c r="K18" s="4" t="s">
        <v>420</v>
      </c>
      <c r="L18" s="4" t="s">
        <v>421</v>
      </c>
      <c r="M18" s="4" t="s">
        <v>394</v>
      </c>
      <c r="N18" s="18">
        <v>22</v>
      </c>
      <c r="O18" s="18">
        <v>15</v>
      </c>
      <c r="P18" s="18">
        <v>13</v>
      </c>
      <c r="Q18" s="18">
        <v>12</v>
      </c>
      <c r="R18" s="18">
        <v>12</v>
      </c>
      <c r="S18" s="18">
        <v>74</v>
      </c>
      <c r="T18" t="s">
        <v>15</v>
      </c>
      <c r="U18" t="s">
        <v>414</v>
      </c>
    </row>
    <row r="19" spans="1:21" ht="55.2">
      <c r="A19" s="4" t="s">
        <v>277</v>
      </c>
      <c r="B19" s="4" t="s">
        <v>410</v>
      </c>
      <c r="C19" s="4" t="s">
        <v>388</v>
      </c>
      <c r="D19" s="4" t="s">
        <v>17</v>
      </c>
      <c r="E19" s="4" t="s">
        <v>273</v>
      </c>
      <c r="F19" s="9">
        <v>78</v>
      </c>
      <c r="G19" s="5">
        <v>16550</v>
      </c>
      <c r="H19" s="4" t="s">
        <v>389</v>
      </c>
      <c r="I19" s="4" t="s">
        <v>390</v>
      </c>
      <c r="J19" s="4" t="s">
        <v>411</v>
      </c>
      <c r="K19" s="4" t="s">
        <v>392</v>
      </c>
      <c r="L19" s="4" t="s">
        <v>422</v>
      </c>
      <c r="M19" s="4" t="s">
        <v>413</v>
      </c>
      <c r="N19" s="18">
        <v>22</v>
      </c>
      <c r="O19" s="18">
        <v>5</v>
      </c>
      <c r="P19" s="18">
        <v>25</v>
      </c>
      <c r="Q19" s="18">
        <v>8</v>
      </c>
      <c r="R19" s="18">
        <v>18</v>
      </c>
      <c r="S19" s="18">
        <v>78</v>
      </c>
      <c r="T19" t="s">
        <v>15</v>
      </c>
      <c r="U19" t="s">
        <v>414</v>
      </c>
    </row>
    <row r="20" spans="1:21" ht="41.4">
      <c r="A20" s="4" t="s">
        <v>280</v>
      </c>
      <c r="B20" s="4" t="s">
        <v>387</v>
      </c>
      <c r="C20" s="4" t="s">
        <v>388</v>
      </c>
      <c r="D20" s="4" t="s">
        <v>19</v>
      </c>
      <c r="E20" s="4" t="s">
        <v>260</v>
      </c>
      <c r="F20" s="9">
        <v>100</v>
      </c>
      <c r="G20" s="5">
        <v>11875</v>
      </c>
      <c r="H20" s="4" t="s">
        <v>389</v>
      </c>
      <c r="I20" s="4" t="s">
        <v>390</v>
      </c>
      <c r="J20" s="4" t="s">
        <v>391</v>
      </c>
      <c r="K20" s="4" t="s">
        <v>392</v>
      </c>
      <c r="L20" s="4" t="s">
        <v>423</v>
      </c>
      <c r="M20" s="4" t="s">
        <v>394</v>
      </c>
      <c r="N20" s="18">
        <v>25</v>
      </c>
      <c r="O20" s="18">
        <v>15</v>
      </c>
      <c r="P20" s="18">
        <v>25</v>
      </c>
      <c r="Q20" s="18">
        <v>15</v>
      </c>
      <c r="R20" s="18">
        <v>20</v>
      </c>
      <c r="S20" s="18">
        <v>100</v>
      </c>
      <c r="T20" t="s">
        <v>12</v>
      </c>
      <c r="U20" t="s">
        <v>395</v>
      </c>
    </row>
    <row r="21" spans="1:21" ht="55.2">
      <c r="A21" s="4" t="s">
        <v>364</v>
      </c>
      <c r="B21" s="4" t="s">
        <v>387</v>
      </c>
      <c r="C21" s="4" t="s">
        <v>424</v>
      </c>
      <c r="D21" s="4" t="s">
        <v>19</v>
      </c>
      <c r="E21" s="4" t="s">
        <v>260</v>
      </c>
      <c r="F21" s="9">
        <v>89</v>
      </c>
      <c r="G21" s="5">
        <v>13375</v>
      </c>
      <c r="H21" s="4" t="s">
        <v>389</v>
      </c>
      <c r="I21" s="4" t="s">
        <v>390</v>
      </c>
      <c r="J21" s="4" t="s">
        <v>425</v>
      </c>
      <c r="K21" s="4" t="s">
        <v>426</v>
      </c>
      <c r="L21" s="4" t="s">
        <v>427</v>
      </c>
      <c r="M21" s="4" t="s">
        <v>413</v>
      </c>
      <c r="N21" s="18">
        <v>25</v>
      </c>
      <c r="O21" s="18">
        <v>15</v>
      </c>
      <c r="P21" s="18">
        <v>18</v>
      </c>
      <c r="Q21" s="18">
        <v>13</v>
      </c>
      <c r="R21" s="18">
        <v>18</v>
      </c>
      <c r="S21" s="18">
        <v>89</v>
      </c>
      <c r="T21" t="s">
        <v>12</v>
      </c>
      <c r="U21" t="s">
        <v>395</v>
      </c>
    </row>
    <row r="22" spans="1:21" ht="41.4">
      <c r="A22" s="4" t="s">
        <v>270</v>
      </c>
      <c r="B22" s="4" t="s">
        <v>428</v>
      </c>
      <c r="C22" s="4" t="s">
        <v>388</v>
      </c>
      <c r="D22" s="4" t="s">
        <v>14</v>
      </c>
      <c r="E22" s="4" t="s">
        <v>273</v>
      </c>
      <c r="F22" s="9">
        <v>66</v>
      </c>
      <c r="G22" s="5">
        <v>11100</v>
      </c>
      <c r="H22" s="4" t="s">
        <v>389</v>
      </c>
      <c r="I22" s="4" t="s">
        <v>390</v>
      </c>
      <c r="J22" s="4" t="s">
        <v>411</v>
      </c>
      <c r="K22" s="4" t="s">
        <v>392</v>
      </c>
      <c r="L22" s="4" t="s">
        <v>429</v>
      </c>
      <c r="M22" s="4" t="s">
        <v>413</v>
      </c>
      <c r="N22" s="18">
        <v>10</v>
      </c>
      <c r="O22" s="18">
        <v>5</v>
      </c>
      <c r="P22" s="18">
        <v>25</v>
      </c>
      <c r="Q22" s="18">
        <v>8</v>
      </c>
      <c r="R22" s="18">
        <v>18</v>
      </c>
      <c r="S22" s="18">
        <v>66</v>
      </c>
      <c r="T22" t="s">
        <v>18</v>
      </c>
      <c r="U22" t="s">
        <v>430</v>
      </c>
    </row>
    <row r="23" spans="1:21" ht="55.2">
      <c r="A23" s="4" t="s">
        <v>286</v>
      </c>
      <c r="B23" s="4" t="s">
        <v>410</v>
      </c>
      <c r="C23" s="4" t="s">
        <v>424</v>
      </c>
      <c r="D23" s="4" t="s">
        <v>17</v>
      </c>
      <c r="E23" s="4" t="s">
        <v>260</v>
      </c>
      <c r="F23" s="9">
        <v>82</v>
      </c>
      <c r="G23" s="5">
        <v>9250</v>
      </c>
      <c r="H23" s="4" t="s">
        <v>389</v>
      </c>
      <c r="I23" s="4" t="s">
        <v>390</v>
      </c>
      <c r="J23" s="4" t="s">
        <v>425</v>
      </c>
      <c r="K23" s="4" t="s">
        <v>426</v>
      </c>
      <c r="L23" s="4" t="s">
        <v>431</v>
      </c>
      <c r="M23" s="4" t="s">
        <v>413</v>
      </c>
      <c r="N23" s="18">
        <v>18</v>
      </c>
      <c r="O23" s="18">
        <v>15</v>
      </c>
      <c r="P23" s="18">
        <v>18</v>
      </c>
      <c r="Q23" s="18">
        <v>13</v>
      </c>
      <c r="R23" s="18">
        <v>18</v>
      </c>
      <c r="S23" s="18">
        <v>82</v>
      </c>
      <c r="T23" t="s">
        <v>15</v>
      </c>
      <c r="U23" t="s">
        <v>414</v>
      </c>
    </row>
    <row r="24" spans="1:21" ht="55.2">
      <c r="A24" s="4" t="s">
        <v>298</v>
      </c>
      <c r="B24" s="4" t="s">
        <v>428</v>
      </c>
      <c r="C24" s="4" t="s">
        <v>424</v>
      </c>
      <c r="D24" s="4" t="s">
        <v>14</v>
      </c>
      <c r="E24" s="4" t="s">
        <v>236</v>
      </c>
      <c r="F24" s="9">
        <v>66</v>
      </c>
      <c r="G24" s="5">
        <v>8360</v>
      </c>
      <c r="H24" s="4" t="s">
        <v>389</v>
      </c>
      <c r="I24" s="4" t="s">
        <v>390</v>
      </c>
      <c r="J24" s="4" t="s">
        <v>425</v>
      </c>
      <c r="K24" s="4" t="s">
        <v>426</v>
      </c>
      <c r="L24" s="4" t="s">
        <v>432</v>
      </c>
      <c r="M24" s="4" t="s">
        <v>413</v>
      </c>
      <c r="N24" s="18">
        <v>10</v>
      </c>
      <c r="O24" s="18">
        <v>10</v>
      </c>
      <c r="P24" s="18">
        <v>18</v>
      </c>
      <c r="Q24" s="18">
        <v>10</v>
      </c>
      <c r="R24" s="18">
        <v>18</v>
      </c>
      <c r="S24" s="18">
        <v>66</v>
      </c>
      <c r="T24" t="s">
        <v>18</v>
      </c>
      <c r="U24" t="s">
        <v>433</v>
      </c>
    </row>
    <row r="25" spans="1:21" ht="41.4">
      <c r="A25" s="4" t="s">
        <v>313</v>
      </c>
      <c r="B25" s="4" t="s">
        <v>410</v>
      </c>
      <c r="C25" s="4" t="s">
        <v>424</v>
      </c>
      <c r="D25" s="4" t="s">
        <v>17</v>
      </c>
      <c r="E25" s="4" t="s">
        <v>236</v>
      </c>
      <c r="F25" s="9">
        <v>72</v>
      </c>
      <c r="G25" s="5">
        <v>8030.0000000000009</v>
      </c>
      <c r="H25" s="4" t="s">
        <v>389</v>
      </c>
      <c r="I25" s="4" t="s">
        <v>390</v>
      </c>
      <c r="J25" s="4" t="s">
        <v>425</v>
      </c>
      <c r="K25" s="4" t="s">
        <v>426</v>
      </c>
      <c r="L25" s="4" t="s">
        <v>434</v>
      </c>
      <c r="M25" s="4" t="s">
        <v>413</v>
      </c>
      <c r="N25" s="18">
        <v>14</v>
      </c>
      <c r="O25" s="18">
        <v>10</v>
      </c>
      <c r="P25" s="18">
        <v>18</v>
      </c>
      <c r="Q25" s="18">
        <v>12</v>
      </c>
      <c r="R25" s="18">
        <v>18</v>
      </c>
      <c r="S25" s="18">
        <v>72</v>
      </c>
      <c r="T25" t="s">
        <v>15</v>
      </c>
      <c r="U25" t="s">
        <v>414</v>
      </c>
    </row>
    <row r="26" spans="1:21" ht="41.4">
      <c r="A26" s="4" t="s">
        <v>289</v>
      </c>
      <c r="B26" s="4" t="s">
        <v>410</v>
      </c>
      <c r="C26" s="4" t="s">
        <v>424</v>
      </c>
      <c r="D26" s="4" t="s">
        <v>17</v>
      </c>
      <c r="E26" s="4" t="s">
        <v>236</v>
      </c>
      <c r="F26" s="9">
        <v>81</v>
      </c>
      <c r="G26" s="5">
        <v>4112.5</v>
      </c>
      <c r="H26" s="4" t="s">
        <v>389</v>
      </c>
      <c r="I26" s="4" t="s">
        <v>390</v>
      </c>
      <c r="J26" s="4" t="s">
        <v>425</v>
      </c>
      <c r="K26" s="4" t="s">
        <v>426</v>
      </c>
      <c r="L26" s="4" t="s">
        <v>435</v>
      </c>
      <c r="M26" s="4" t="s">
        <v>413</v>
      </c>
      <c r="N26" s="18">
        <v>18</v>
      </c>
      <c r="O26" s="18">
        <v>15</v>
      </c>
      <c r="P26" s="18">
        <v>18</v>
      </c>
      <c r="Q26" s="18">
        <v>12</v>
      </c>
      <c r="R26" s="18">
        <v>18</v>
      </c>
      <c r="S26" s="18">
        <v>81</v>
      </c>
      <c r="T26" t="s">
        <v>15</v>
      </c>
      <c r="U26" t="s">
        <v>414</v>
      </c>
    </row>
    <row r="27" spans="1:21" ht="41.4">
      <c r="A27" s="4" t="s">
        <v>316</v>
      </c>
      <c r="B27" s="4" t="s">
        <v>410</v>
      </c>
      <c r="C27" s="4" t="s">
        <v>424</v>
      </c>
      <c r="D27" s="4" t="s">
        <v>17</v>
      </c>
      <c r="E27" s="4" t="s">
        <v>236</v>
      </c>
      <c r="F27" s="9">
        <v>75</v>
      </c>
      <c r="G27" s="5">
        <v>3812.5</v>
      </c>
      <c r="H27" s="4" t="s">
        <v>389</v>
      </c>
      <c r="I27" s="4" t="s">
        <v>390</v>
      </c>
      <c r="J27" s="4" t="s">
        <v>425</v>
      </c>
      <c r="K27" s="4" t="s">
        <v>426</v>
      </c>
      <c r="L27" s="4" t="s">
        <v>436</v>
      </c>
      <c r="M27" s="4" t="s">
        <v>413</v>
      </c>
      <c r="N27" s="18">
        <v>14</v>
      </c>
      <c r="O27" s="18">
        <v>15</v>
      </c>
      <c r="P27" s="18">
        <v>18</v>
      </c>
      <c r="Q27" s="18">
        <v>10</v>
      </c>
      <c r="R27" s="18">
        <v>18</v>
      </c>
      <c r="S27" s="18">
        <v>75</v>
      </c>
      <c r="T27" t="s">
        <v>15</v>
      </c>
      <c r="U27" t="s">
        <v>414</v>
      </c>
    </row>
    <row r="28" spans="1:21" ht="55.2">
      <c r="A28" s="4" t="s">
        <v>322</v>
      </c>
      <c r="B28" s="4" t="s">
        <v>428</v>
      </c>
      <c r="C28" s="4" t="s">
        <v>417</v>
      </c>
      <c r="D28" s="4" t="s">
        <v>14</v>
      </c>
      <c r="E28" s="4" t="s">
        <v>236</v>
      </c>
      <c r="F28" s="9">
        <v>61</v>
      </c>
      <c r="G28" s="5">
        <v>1750</v>
      </c>
      <c r="H28" s="4" t="s">
        <v>418</v>
      </c>
      <c r="I28" s="4" t="s">
        <v>419</v>
      </c>
      <c r="J28" s="4" t="s">
        <v>425</v>
      </c>
      <c r="K28" s="4" t="s">
        <v>420</v>
      </c>
      <c r="L28" s="4" t="s">
        <v>437</v>
      </c>
      <c r="M28" s="4" t="s">
        <v>413</v>
      </c>
      <c r="N28" s="18">
        <v>10</v>
      </c>
      <c r="O28" s="18">
        <v>15</v>
      </c>
      <c r="P28" s="18">
        <v>14</v>
      </c>
      <c r="Q28" s="18">
        <v>10</v>
      </c>
      <c r="R28" s="18">
        <v>12</v>
      </c>
      <c r="S28" s="18">
        <v>61</v>
      </c>
      <c r="T28" t="s">
        <v>18</v>
      </c>
      <c r="U28" t="s">
        <v>433</v>
      </c>
    </row>
    <row r="29" spans="1:21" ht="41.4">
      <c r="A29" s="4" t="s">
        <v>250</v>
      </c>
      <c r="B29" s="4" t="s">
        <v>387</v>
      </c>
      <c r="C29" s="4" t="s">
        <v>424</v>
      </c>
      <c r="D29" s="4" t="s">
        <v>19</v>
      </c>
      <c r="E29" s="4" t="s">
        <v>236</v>
      </c>
      <c r="F29" s="9">
        <v>86</v>
      </c>
      <c r="G29" s="5">
        <v>3562.5</v>
      </c>
      <c r="H29" s="4" t="s">
        <v>389</v>
      </c>
      <c r="I29" s="4" t="s">
        <v>390</v>
      </c>
      <c r="J29" s="4" t="s">
        <v>425</v>
      </c>
      <c r="K29" s="4" t="s">
        <v>426</v>
      </c>
      <c r="L29" s="4" t="s">
        <v>438</v>
      </c>
      <c r="M29" s="4" t="s">
        <v>413</v>
      </c>
      <c r="N29" s="18">
        <v>22</v>
      </c>
      <c r="O29" s="18">
        <v>15</v>
      </c>
      <c r="P29" s="18">
        <v>21</v>
      </c>
      <c r="Q29" s="18">
        <v>10</v>
      </c>
      <c r="R29" s="18">
        <v>18</v>
      </c>
      <c r="S29" s="18">
        <v>86</v>
      </c>
      <c r="T29" t="s">
        <v>12</v>
      </c>
      <c r="U29" t="s">
        <v>395</v>
      </c>
    </row>
    <row r="30" spans="1:21" ht="41.4">
      <c r="A30" s="4" t="s">
        <v>264</v>
      </c>
      <c r="B30" s="4" t="s">
        <v>410</v>
      </c>
      <c r="C30" s="4" t="s">
        <v>424</v>
      </c>
      <c r="D30" s="4" t="s">
        <v>17</v>
      </c>
      <c r="E30" s="4" t="s">
        <v>236</v>
      </c>
      <c r="F30" s="9">
        <v>79</v>
      </c>
      <c r="G30" s="5">
        <v>3278.0000000000005</v>
      </c>
      <c r="H30" s="4" t="s">
        <v>389</v>
      </c>
      <c r="I30" s="4" t="s">
        <v>390</v>
      </c>
      <c r="J30" s="4" t="s">
        <v>425</v>
      </c>
      <c r="K30" s="4" t="s">
        <v>426</v>
      </c>
      <c r="L30" s="4" t="s">
        <v>439</v>
      </c>
      <c r="M30" s="4" t="s">
        <v>413</v>
      </c>
      <c r="N30" s="18">
        <v>18</v>
      </c>
      <c r="O30" s="18">
        <v>10</v>
      </c>
      <c r="P30" s="18">
        <v>21</v>
      </c>
      <c r="Q30" s="18">
        <v>12</v>
      </c>
      <c r="R30" s="18">
        <v>18</v>
      </c>
      <c r="S30" s="18">
        <v>79</v>
      </c>
      <c r="T30" t="s">
        <v>15</v>
      </c>
      <c r="U30" t="s">
        <v>414</v>
      </c>
    </row>
    <row r="31" spans="1:21" ht="41.4">
      <c r="A31" s="4" t="s">
        <v>307</v>
      </c>
      <c r="B31" s="4" t="s">
        <v>428</v>
      </c>
      <c r="C31" s="4" t="s">
        <v>424</v>
      </c>
      <c r="D31" s="4" t="s">
        <v>14</v>
      </c>
      <c r="E31" s="4" t="s">
        <v>236</v>
      </c>
      <c r="F31" s="9">
        <v>66</v>
      </c>
      <c r="G31" s="5">
        <v>2650</v>
      </c>
      <c r="H31" s="4" t="s">
        <v>389</v>
      </c>
      <c r="I31" s="4" t="s">
        <v>390</v>
      </c>
      <c r="J31" s="4" t="s">
        <v>425</v>
      </c>
      <c r="K31" s="4" t="s">
        <v>426</v>
      </c>
      <c r="L31" s="4" t="s">
        <v>440</v>
      </c>
      <c r="M31" s="4" t="s">
        <v>413</v>
      </c>
      <c r="N31" s="18">
        <v>18</v>
      </c>
      <c r="O31" s="18">
        <v>5</v>
      </c>
      <c r="P31" s="18">
        <v>18</v>
      </c>
      <c r="Q31" s="18">
        <v>7</v>
      </c>
      <c r="R31" s="18">
        <v>18</v>
      </c>
      <c r="S31" s="18">
        <v>66</v>
      </c>
      <c r="T31" t="s">
        <v>18</v>
      </c>
      <c r="U31" t="s">
        <v>433</v>
      </c>
    </row>
    <row r="32" spans="1:21" ht="41.4">
      <c r="A32" s="4" t="s">
        <v>247</v>
      </c>
      <c r="B32" s="4" t="s">
        <v>428</v>
      </c>
      <c r="C32" s="4" t="s">
        <v>424</v>
      </c>
      <c r="D32" s="4" t="s">
        <v>14</v>
      </c>
      <c r="E32" s="4" t="s">
        <v>236</v>
      </c>
      <c r="F32" s="9">
        <v>60</v>
      </c>
      <c r="G32" s="5">
        <v>4980</v>
      </c>
      <c r="H32" s="4" t="s">
        <v>389</v>
      </c>
      <c r="I32" s="4" t="s">
        <v>390</v>
      </c>
      <c r="J32" s="4" t="s">
        <v>425</v>
      </c>
      <c r="K32" s="4" t="s">
        <v>426</v>
      </c>
      <c r="L32" s="4" t="s">
        <v>441</v>
      </c>
      <c r="M32" s="4" t="s">
        <v>413</v>
      </c>
      <c r="N32" s="18">
        <v>14</v>
      </c>
      <c r="O32" s="18">
        <v>5</v>
      </c>
      <c r="P32" s="18">
        <v>14</v>
      </c>
      <c r="Q32" s="18">
        <v>9</v>
      </c>
      <c r="R32" s="18">
        <v>18</v>
      </c>
      <c r="S32" s="18">
        <v>60</v>
      </c>
      <c r="T32" t="s">
        <v>18</v>
      </c>
      <c r="U32" t="s">
        <v>433</v>
      </c>
    </row>
    <row r="33" spans="1:21" ht="55.2">
      <c r="A33" s="4" t="s">
        <v>254</v>
      </c>
      <c r="B33" s="4" t="s">
        <v>442</v>
      </c>
      <c r="C33" s="4" t="s">
        <v>443</v>
      </c>
      <c r="D33" s="4" t="s">
        <v>11</v>
      </c>
      <c r="E33" s="4" t="s">
        <v>241</v>
      </c>
      <c r="F33" s="9">
        <v>47</v>
      </c>
      <c r="G33" s="5">
        <v>0</v>
      </c>
      <c r="H33" s="4" t="s">
        <v>444</v>
      </c>
      <c r="I33" s="4" t="s">
        <v>445</v>
      </c>
      <c r="J33" s="4" t="s">
        <v>446</v>
      </c>
      <c r="K33" s="4" t="s">
        <v>447</v>
      </c>
      <c r="L33" s="4" t="s">
        <v>448</v>
      </c>
      <c r="M33" s="4" t="s">
        <v>413</v>
      </c>
      <c r="N33" s="18">
        <v>18</v>
      </c>
      <c r="O33" s="18">
        <v>15</v>
      </c>
      <c r="P33" s="18">
        <v>1</v>
      </c>
      <c r="Q33" s="18">
        <v>5</v>
      </c>
      <c r="R33" s="18">
        <v>8</v>
      </c>
      <c r="S33" s="18">
        <v>47</v>
      </c>
      <c r="T33" t="s">
        <v>20</v>
      </c>
      <c r="U33" t="s">
        <v>449</v>
      </c>
    </row>
    <row r="34" spans="1:21" ht="55.2">
      <c r="A34" s="4" t="s">
        <v>237</v>
      </c>
      <c r="B34" s="4" t="s">
        <v>387</v>
      </c>
      <c r="C34" s="4" t="s">
        <v>443</v>
      </c>
      <c r="D34" s="4" t="s">
        <v>11</v>
      </c>
      <c r="E34" s="4" t="s">
        <v>241</v>
      </c>
      <c r="F34" s="9">
        <v>51</v>
      </c>
      <c r="G34" s="5">
        <v>0</v>
      </c>
      <c r="H34" s="4" t="s">
        <v>444</v>
      </c>
      <c r="I34" s="4" t="s">
        <v>445</v>
      </c>
      <c r="J34" s="4" t="s">
        <v>446</v>
      </c>
      <c r="K34" s="4" t="s">
        <v>447</v>
      </c>
      <c r="L34" s="4" t="s">
        <v>450</v>
      </c>
      <c r="M34" s="4" t="s">
        <v>413</v>
      </c>
      <c r="N34" s="18">
        <v>25</v>
      </c>
      <c r="O34" s="18">
        <v>10</v>
      </c>
      <c r="P34" s="18">
        <v>4</v>
      </c>
      <c r="Q34" s="18">
        <v>4</v>
      </c>
      <c r="R34" s="18">
        <v>8</v>
      </c>
      <c r="S34" s="18">
        <v>51</v>
      </c>
      <c r="T34" t="s">
        <v>20</v>
      </c>
      <c r="U34" t="s">
        <v>449</v>
      </c>
    </row>
    <row r="35" spans="1:21" ht="41.4">
      <c r="A35" s="4" t="s">
        <v>231</v>
      </c>
      <c r="B35" s="4" t="s">
        <v>442</v>
      </c>
      <c r="C35" s="4" t="s">
        <v>451</v>
      </c>
      <c r="D35" s="4" t="s">
        <v>11</v>
      </c>
      <c r="E35" s="4" t="s">
        <v>236</v>
      </c>
      <c r="F35" s="9">
        <v>50</v>
      </c>
      <c r="G35" s="5">
        <v>1840</v>
      </c>
      <c r="H35" s="4" t="s">
        <v>389</v>
      </c>
      <c r="I35" s="4" t="s">
        <v>390</v>
      </c>
      <c r="J35" s="4" t="s">
        <v>446</v>
      </c>
      <c r="K35" s="4" t="s">
        <v>452</v>
      </c>
      <c r="L35" s="4" t="s">
        <v>453</v>
      </c>
      <c r="M35" s="4" t="s">
        <v>413</v>
      </c>
      <c r="N35" s="18">
        <v>14</v>
      </c>
      <c r="O35" s="18">
        <v>5</v>
      </c>
      <c r="P35" s="18">
        <v>4</v>
      </c>
      <c r="Q35" s="18">
        <v>9</v>
      </c>
      <c r="R35" s="18">
        <v>18</v>
      </c>
      <c r="S35" s="18">
        <v>50</v>
      </c>
      <c r="T35" t="s">
        <v>20</v>
      </c>
      <c r="U35" t="s">
        <v>449</v>
      </c>
    </row>
    <row r="36" spans="1:21" ht="41.4">
      <c r="A36" s="4" t="s">
        <v>292</v>
      </c>
      <c r="B36" s="4" t="s">
        <v>442</v>
      </c>
      <c r="C36" s="4" t="s">
        <v>443</v>
      </c>
      <c r="D36" s="4" t="s">
        <v>11</v>
      </c>
      <c r="E36" s="4" t="s">
        <v>241</v>
      </c>
      <c r="F36" s="9">
        <v>37</v>
      </c>
      <c r="G36" s="5">
        <v>0</v>
      </c>
      <c r="H36" s="4" t="s">
        <v>444</v>
      </c>
      <c r="I36" s="4" t="s">
        <v>445</v>
      </c>
      <c r="J36" s="4" t="s">
        <v>446</v>
      </c>
      <c r="K36" s="4" t="s">
        <v>447</v>
      </c>
      <c r="L36" s="4" t="s">
        <v>454</v>
      </c>
      <c r="M36" s="4" t="s">
        <v>413</v>
      </c>
      <c r="N36" s="18">
        <v>14</v>
      </c>
      <c r="O36" s="18">
        <v>5</v>
      </c>
      <c r="P36" s="18">
        <v>5</v>
      </c>
      <c r="Q36" s="18">
        <v>5</v>
      </c>
      <c r="R36" s="18">
        <v>8</v>
      </c>
      <c r="S36" s="18">
        <v>37</v>
      </c>
      <c r="T36" t="s">
        <v>20</v>
      </c>
      <c r="U36" t="s">
        <v>449</v>
      </c>
    </row>
    <row r="37" spans="1:21" ht="55.2">
      <c r="A37" s="4" t="s">
        <v>319</v>
      </c>
      <c r="B37" s="4" t="s">
        <v>442</v>
      </c>
      <c r="C37" s="4" t="s">
        <v>443</v>
      </c>
      <c r="D37" s="4" t="s">
        <v>11</v>
      </c>
      <c r="E37" s="4" t="s">
        <v>241</v>
      </c>
      <c r="F37" s="9">
        <v>35</v>
      </c>
      <c r="G37" s="5">
        <v>0</v>
      </c>
      <c r="H37" s="4" t="s">
        <v>444</v>
      </c>
      <c r="I37" s="4" t="s">
        <v>445</v>
      </c>
      <c r="J37" s="4" t="s">
        <v>446</v>
      </c>
      <c r="K37" s="4" t="s">
        <v>447</v>
      </c>
      <c r="L37" s="4" t="s">
        <v>455</v>
      </c>
      <c r="M37" s="4" t="s">
        <v>413</v>
      </c>
      <c r="N37" s="18">
        <v>10</v>
      </c>
      <c r="O37" s="18">
        <v>5</v>
      </c>
      <c r="P37" s="18">
        <v>5</v>
      </c>
      <c r="Q37" s="18">
        <v>7</v>
      </c>
      <c r="R37" s="18">
        <v>8</v>
      </c>
      <c r="S37" s="18">
        <v>35</v>
      </c>
      <c r="T37" t="s">
        <v>20</v>
      </c>
      <c r="U37" t="s">
        <v>449</v>
      </c>
    </row>
    <row r="38" spans="1:21" ht="55.2">
      <c r="A38" s="4" t="s">
        <v>328</v>
      </c>
      <c r="B38" s="4" t="s">
        <v>442</v>
      </c>
      <c r="C38" s="4" t="s">
        <v>443</v>
      </c>
      <c r="D38" s="4" t="s">
        <v>11</v>
      </c>
      <c r="E38" s="4" t="s">
        <v>241</v>
      </c>
      <c r="F38" s="9">
        <v>33</v>
      </c>
      <c r="G38" s="5">
        <v>0</v>
      </c>
      <c r="H38" s="4" t="s">
        <v>444</v>
      </c>
      <c r="I38" s="4" t="s">
        <v>445</v>
      </c>
      <c r="J38" s="4" t="s">
        <v>446</v>
      </c>
      <c r="K38" s="4" t="s">
        <v>447</v>
      </c>
      <c r="L38" s="4" t="s">
        <v>456</v>
      </c>
      <c r="M38" s="4" t="s">
        <v>413</v>
      </c>
      <c r="N38" s="18">
        <v>10</v>
      </c>
      <c r="O38" s="18">
        <v>5</v>
      </c>
      <c r="P38" s="18">
        <v>5</v>
      </c>
      <c r="Q38" s="18">
        <v>5</v>
      </c>
      <c r="R38" s="18">
        <v>8</v>
      </c>
      <c r="S38" s="18">
        <v>33</v>
      </c>
      <c r="T38" t="s">
        <v>20</v>
      </c>
      <c r="U38" t="s">
        <v>449</v>
      </c>
    </row>
    <row r="39" spans="1:21" ht="55.2">
      <c r="A39" s="4" t="s">
        <v>331</v>
      </c>
      <c r="B39" s="4" t="s">
        <v>442</v>
      </c>
      <c r="C39" s="4" t="s">
        <v>443</v>
      </c>
      <c r="D39" s="4" t="s">
        <v>11</v>
      </c>
      <c r="E39" s="4" t="s">
        <v>241</v>
      </c>
      <c r="F39" s="9">
        <v>33</v>
      </c>
      <c r="G39" s="5">
        <v>0</v>
      </c>
      <c r="H39" s="4" t="s">
        <v>444</v>
      </c>
      <c r="I39" s="4" t="s">
        <v>445</v>
      </c>
      <c r="J39" s="4" t="s">
        <v>446</v>
      </c>
      <c r="K39" s="4" t="s">
        <v>447</v>
      </c>
      <c r="L39" s="4" t="s">
        <v>457</v>
      </c>
      <c r="M39" s="4" t="s">
        <v>413</v>
      </c>
      <c r="N39" s="18">
        <v>10</v>
      </c>
      <c r="O39" s="18">
        <v>5</v>
      </c>
      <c r="P39" s="18">
        <v>5</v>
      </c>
      <c r="Q39" s="18">
        <v>5</v>
      </c>
      <c r="R39" s="18">
        <v>8</v>
      </c>
      <c r="S39" s="18">
        <v>33</v>
      </c>
      <c r="T39" t="s">
        <v>20</v>
      </c>
      <c r="U39" t="s">
        <v>449</v>
      </c>
    </row>
    <row r="40" spans="1:21" ht="55.2">
      <c r="A40" s="4" t="s">
        <v>334</v>
      </c>
      <c r="B40" s="4" t="s">
        <v>442</v>
      </c>
      <c r="C40" s="4" t="s">
        <v>443</v>
      </c>
      <c r="D40" s="4" t="s">
        <v>11</v>
      </c>
      <c r="E40" s="4" t="s">
        <v>241</v>
      </c>
      <c r="F40" s="9">
        <v>41</v>
      </c>
      <c r="G40" s="5">
        <v>0</v>
      </c>
      <c r="H40" s="4" t="s">
        <v>444</v>
      </c>
      <c r="I40" s="4" t="s">
        <v>445</v>
      </c>
      <c r="J40" s="4" t="s">
        <v>446</v>
      </c>
      <c r="K40" s="4" t="s">
        <v>447</v>
      </c>
      <c r="L40" s="4" t="s">
        <v>458</v>
      </c>
      <c r="M40" s="4" t="s">
        <v>413</v>
      </c>
      <c r="N40" s="18">
        <v>18</v>
      </c>
      <c r="O40" s="18">
        <v>5</v>
      </c>
      <c r="P40" s="18">
        <v>5</v>
      </c>
      <c r="Q40" s="18">
        <v>5</v>
      </c>
      <c r="R40" s="18">
        <v>8</v>
      </c>
      <c r="S40" s="18">
        <v>41</v>
      </c>
      <c r="T40" t="s">
        <v>20</v>
      </c>
      <c r="U40" t="s">
        <v>449</v>
      </c>
    </row>
    <row r="41" spans="1:21" ht="55.2">
      <c r="A41" s="4" t="s">
        <v>337</v>
      </c>
      <c r="B41" s="4" t="s">
        <v>442</v>
      </c>
      <c r="C41" s="4" t="s">
        <v>443</v>
      </c>
      <c r="D41" s="4" t="s">
        <v>11</v>
      </c>
      <c r="E41" s="4" t="s">
        <v>241</v>
      </c>
      <c r="F41" s="9">
        <v>37</v>
      </c>
      <c r="G41" s="5">
        <v>0</v>
      </c>
      <c r="H41" s="4" t="s">
        <v>444</v>
      </c>
      <c r="I41" s="4" t="s">
        <v>445</v>
      </c>
      <c r="J41" s="4" t="s">
        <v>446</v>
      </c>
      <c r="K41" s="4" t="s">
        <v>447</v>
      </c>
      <c r="L41" s="4" t="s">
        <v>459</v>
      </c>
      <c r="M41" s="4" t="s">
        <v>413</v>
      </c>
      <c r="N41" s="18">
        <v>14</v>
      </c>
      <c r="O41" s="18">
        <v>5</v>
      </c>
      <c r="P41" s="18">
        <v>5</v>
      </c>
      <c r="Q41" s="18">
        <v>5</v>
      </c>
      <c r="R41" s="18">
        <v>8</v>
      </c>
      <c r="S41" s="18">
        <v>37</v>
      </c>
      <c r="T41" t="s">
        <v>20</v>
      </c>
      <c r="U41" t="s">
        <v>449</v>
      </c>
    </row>
    <row r="42" spans="1:21" ht="55.2">
      <c r="A42" s="4" t="s">
        <v>340</v>
      </c>
      <c r="B42" s="4" t="s">
        <v>442</v>
      </c>
      <c r="C42" s="4" t="s">
        <v>443</v>
      </c>
      <c r="D42" s="4" t="s">
        <v>11</v>
      </c>
      <c r="E42" s="4" t="s">
        <v>241</v>
      </c>
      <c r="F42" s="9">
        <v>43</v>
      </c>
      <c r="G42" s="5">
        <v>0</v>
      </c>
      <c r="H42" s="4" t="s">
        <v>444</v>
      </c>
      <c r="I42" s="4" t="s">
        <v>445</v>
      </c>
      <c r="J42" s="4" t="s">
        <v>446</v>
      </c>
      <c r="K42" s="4" t="s">
        <v>447</v>
      </c>
      <c r="L42" s="4" t="s">
        <v>460</v>
      </c>
      <c r="M42" s="4" t="s">
        <v>413</v>
      </c>
      <c r="N42" s="18">
        <v>18</v>
      </c>
      <c r="O42" s="18">
        <v>5</v>
      </c>
      <c r="P42" s="18">
        <v>5</v>
      </c>
      <c r="Q42" s="18">
        <v>7</v>
      </c>
      <c r="R42" s="18">
        <v>8</v>
      </c>
      <c r="S42" s="18">
        <v>43</v>
      </c>
      <c r="T42" t="s">
        <v>20</v>
      </c>
      <c r="U42" t="s">
        <v>449</v>
      </c>
    </row>
    <row r="43" spans="1:21" ht="55.2">
      <c r="A43" s="4" t="s">
        <v>343</v>
      </c>
      <c r="B43" s="4" t="s">
        <v>387</v>
      </c>
      <c r="C43" s="4" t="s">
        <v>443</v>
      </c>
      <c r="D43" s="4" t="s">
        <v>11</v>
      </c>
      <c r="E43" s="4" t="s">
        <v>241</v>
      </c>
      <c r="F43" s="9">
        <v>48</v>
      </c>
      <c r="G43" s="5">
        <v>0</v>
      </c>
      <c r="H43" s="4" t="s">
        <v>444</v>
      </c>
      <c r="I43" s="4" t="s">
        <v>445</v>
      </c>
      <c r="J43" s="4" t="s">
        <v>446</v>
      </c>
      <c r="K43" s="4" t="s">
        <v>447</v>
      </c>
      <c r="L43" s="4" t="s">
        <v>461</v>
      </c>
      <c r="M43" s="4" t="s">
        <v>413</v>
      </c>
      <c r="N43" s="18">
        <v>25</v>
      </c>
      <c r="O43" s="18">
        <v>5</v>
      </c>
      <c r="P43" s="18">
        <v>5</v>
      </c>
      <c r="Q43" s="18">
        <v>5</v>
      </c>
      <c r="R43" s="18">
        <v>8</v>
      </c>
      <c r="S43" s="18">
        <v>48</v>
      </c>
      <c r="T43" t="s">
        <v>20</v>
      </c>
      <c r="U43" t="s">
        <v>449</v>
      </c>
    </row>
    <row r="44" spans="1:21" ht="55.2">
      <c r="A44" s="4" t="s">
        <v>350</v>
      </c>
      <c r="B44" s="4" t="s">
        <v>442</v>
      </c>
      <c r="C44" s="4" t="s">
        <v>443</v>
      </c>
      <c r="D44" s="4" t="s">
        <v>11</v>
      </c>
      <c r="E44" s="4" t="s">
        <v>241</v>
      </c>
      <c r="F44" s="9">
        <v>39</v>
      </c>
      <c r="G44" s="5">
        <v>0</v>
      </c>
      <c r="H44" s="4" t="s">
        <v>444</v>
      </c>
      <c r="I44" s="4" t="s">
        <v>445</v>
      </c>
      <c r="J44" s="4" t="s">
        <v>446</v>
      </c>
      <c r="K44" s="4" t="s">
        <v>447</v>
      </c>
      <c r="L44" s="4" t="s">
        <v>462</v>
      </c>
      <c r="M44" s="4" t="s">
        <v>413</v>
      </c>
      <c r="N44" s="18">
        <v>14</v>
      </c>
      <c r="O44" s="18">
        <v>5</v>
      </c>
      <c r="P44" s="18">
        <v>5</v>
      </c>
      <c r="Q44" s="18">
        <v>7</v>
      </c>
      <c r="R44" s="18">
        <v>8</v>
      </c>
      <c r="S44" s="18">
        <v>39</v>
      </c>
      <c r="T44" t="s">
        <v>20</v>
      </c>
      <c r="U44" t="s">
        <v>449</v>
      </c>
    </row>
    <row r="45" spans="1:21" ht="55.2">
      <c r="A45" s="4" t="s">
        <v>352</v>
      </c>
      <c r="B45" s="4" t="s">
        <v>410</v>
      </c>
      <c r="C45" s="4" t="s">
        <v>443</v>
      </c>
      <c r="D45" s="4" t="s">
        <v>11</v>
      </c>
      <c r="E45" s="4" t="s">
        <v>241</v>
      </c>
      <c r="F45" s="9">
        <v>47</v>
      </c>
      <c r="G45" s="5">
        <v>0</v>
      </c>
      <c r="H45" s="4" t="s">
        <v>444</v>
      </c>
      <c r="I45" s="4" t="s">
        <v>445</v>
      </c>
      <c r="J45" s="4" t="s">
        <v>446</v>
      </c>
      <c r="K45" s="4" t="s">
        <v>447</v>
      </c>
      <c r="L45" s="4" t="s">
        <v>463</v>
      </c>
      <c r="M45" s="4" t="s">
        <v>413</v>
      </c>
      <c r="N45" s="18">
        <v>22</v>
      </c>
      <c r="O45" s="18">
        <v>5</v>
      </c>
      <c r="P45" s="18">
        <v>5</v>
      </c>
      <c r="Q45" s="18">
        <v>7</v>
      </c>
      <c r="R45" s="18">
        <v>8</v>
      </c>
      <c r="S45" s="18">
        <v>47</v>
      </c>
      <c r="T45" t="s">
        <v>20</v>
      </c>
      <c r="U45" t="s">
        <v>449</v>
      </c>
    </row>
    <row r="46" spans="1:21" ht="55.2">
      <c r="A46" s="4" t="s">
        <v>354</v>
      </c>
      <c r="B46" s="4" t="s">
        <v>442</v>
      </c>
      <c r="C46" s="4" t="s">
        <v>443</v>
      </c>
      <c r="D46" s="4" t="s">
        <v>11</v>
      </c>
      <c r="E46" s="4" t="s">
        <v>241</v>
      </c>
      <c r="F46" s="9">
        <v>37</v>
      </c>
      <c r="G46" s="5">
        <v>0</v>
      </c>
      <c r="H46" s="4" t="s">
        <v>444</v>
      </c>
      <c r="I46" s="4" t="s">
        <v>445</v>
      </c>
      <c r="J46" s="4" t="s">
        <v>446</v>
      </c>
      <c r="K46" s="4" t="s">
        <v>447</v>
      </c>
      <c r="L46" s="4" t="s">
        <v>464</v>
      </c>
      <c r="M46" s="4" t="s">
        <v>413</v>
      </c>
      <c r="N46" s="18">
        <v>14</v>
      </c>
      <c r="O46" s="18">
        <v>5</v>
      </c>
      <c r="P46" s="18">
        <v>5</v>
      </c>
      <c r="Q46" s="18">
        <v>5</v>
      </c>
      <c r="R46" s="18">
        <v>8</v>
      </c>
      <c r="S46" s="18">
        <v>37</v>
      </c>
      <c r="T46" t="s">
        <v>20</v>
      </c>
      <c r="U46" t="s">
        <v>449</v>
      </c>
    </row>
    <row r="47" spans="1:21" ht="41.4">
      <c r="A47" s="4" t="s">
        <v>357</v>
      </c>
      <c r="B47" s="4" t="s">
        <v>442</v>
      </c>
      <c r="C47" s="4" t="s">
        <v>443</v>
      </c>
      <c r="D47" s="4" t="s">
        <v>11</v>
      </c>
      <c r="E47" s="4" t="s">
        <v>241</v>
      </c>
      <c r="F47" s="9">
        <v>33</v>
      </c>
      <c r="G47" s="5">
        <v>0</v>
      </c>
      <c r="H47" s="4" t="s">
        <v>444</v>
      </c>
      <c r="I47" s="4" t="s">
        <v>445</v>
      </c>
      <c r="J47" s="4" t="s">
        <v>446</v>
      </c>
      <c r="K47" s="4" t="s">
        <v>447</v>
      </c>
      <c r="L47" s="4" t="s">
        <v>465</v>
      </c>
      <c r="M47" s="4" t="s">
        <v>413</v>
      </c>
      <c r="N47" s="18">
        <v>10</v>
      </c>
      <c r="O47" s="18">
        <v>5</v>
      </c>
      <c r="P47" s="18">
        <v>5</v>
      </c>
      <c r="Q47" s="18">
        <v>5</v>
      </c>
      <c r="R47" s="18">
        <v>8</v>
      </c>
      <c r="S47" s="18">
        <v>33</v>
      </c>
      <c r="T47" t="s">
        <v>20</v>
      </c>
      <c r="U47" t="s">
        <v>449</v>
      </c>
    </row>
    <row r="48" spans="1:21" ht="55.2">
      <c r="A48" s="4" t="s">
        <v>360</v>
      </c>
      <c r="B48" s="4" t="s">
        <v>410</v>
      </c>
      <c r="C48" s="4" t="s">
        <v>443</v>
      </c>
      <c r="D48" s="4" t="s">
        <v>11</v>
      </c>
      <c r="E48" s="4" t="s">
        <v>241</v>
      </c>
      <c r="F48" s="9">
        <v>45</v>
      </c>
      <c r="G48" s="5">
        <v>0</v>
      </c>
      <c r="H48" s="4" t="s">
        <v>444</v>
      </c>
      <c r="I48" s="4" t="s">
        <v>445</v>
      </c>
      <c r="J48" s="4" t="s">
        <v>446</v>
      </c>
      <c r="K48" s="4" t="s">
        <v>447</v>
      </c>
      <c r="L48" s="4" t="s">
        <v>466</v>
      </c>
      <c r="M48" s="4" t="s">
        <v>413</v>
      </c>
      <c r="N48" s="18">
        <v>22</v>
      </c>
      <c r="O48" s="18">
        <v>5</v>
      </c>
      <c r="P48" s="18">
        <v>5</v>
      </c>
      <c r="Q48" s="18">
        <v>5</v>
      </c>
      <c r="R48" s="18">
        <v>8</v>
      </c>
      <c r="S48" s="18">
        <v>45</v>
      </c>
      <c r="T48" t="s">
        <v>20</v>
      </c>
      <c r="U48" t="s">
        <v>449</v>
      </c>
    </row>
    <row r="49" spans="1:21" ht="41.4">
      <c r="A49" s="4" t="s">
        <v>369</v>
      </c>
      <c r="B49" s="4" t="s">
        <v>442</v>
      </c>
      <c r="C49" s="4" t="s">
        <v>443</v>
      </c>
      <c r="D49" s="4" t="s">
        <v>11</v>
      </c>
      <c r="E49" s="4" t="s">
        <v>241</v>
      </c>
      <c r="F49" s="9">
        <v>28</v>
      </c>
      <c r="G49" s="5">
        <v>0</v>
      </c>
      <c r="H49" s="4" t="s">
        <v>444</v>
      </c>
      <c r="I49" s="4" t="s">
        <v>445</v>
      </c>
      <c r="J49" s="4" t="s">
        <v>446</v>
      </c>
      <c r="K49" s="4" t="s">
        <v>447</v>
      </c>
      <c r="L49" s="4" t="s">
        <v>467</v>
      </c>
      <c r="M49" s="4" t="s">
        <v>413</v>
      </c>
      <c r="N49" s="18">
        <v>10</v>
      </c>
      <c r="O49" s="18">
        <v>0</v>
      </c>
      <c r="P49" s="18">
        <v>5</v>
      </c>
      <c r="Q49" s="18">
        <v>5</v>
      </c>
      <c r="R49" s="18">
        <v>8</v>
      </c>
      <c r="S49" s="18">
        <v>28</v>
      </c>
      <c r="T49" t="s">
        <v>20</v>
      </c>
      <c r="U49" t="s">
        <v>449</v>
      </c>
    </row>
  </sheetData>
  <mergeCells count="2">
    <mergeCell ref="A1:M1"/>
    <mergeCell ref="A2:M2"/>
  </mergeCells>
  <phoneticPr fontId="5" type="noConversion"/>
  <conditionalFormatting sqref="C5:C49">
    <cfRule type="containsText" dxfId="3" priority="1" operator="containsText" text="Escala"/>
    <cfRule type="containsText" dxfId="2" priority="2" operator="containsText" text="Diagnostico"/>
  </conditionalFormatting>
  <conditionalFormatting sqref="D5:D49">
    <cfRule type="containsText" dxfId="1" priority="3" operator="containsText" text="LEGACY"/>
    <cfRule type="containsText" dxfId="0" priority="4" operator="containsText" text="PRIME"/>
  </conditionalFormatting>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M37"/>
  <sheetViews>
    <sheetView showGridLines="0" topLeftCell="A12" workbookViewId="0">
      <selection activeCell="D24" sqref="D24"/>
    </sheetView>
  </sheetViews>
  <sheetFormatPr defaultRowHeight="13.8"/>
  <cols>
    <col min="1" max="1" width="130.8984375" customWidth="1"/>
    <col min="2" max="2" width="24.59765625" customWidth="1"/>
    <col min="3" max="3" width="31.8984375" customWidth="1"/>
    <col min="4" max="4" width="41.59765625" customWidth="1"/>
    <col min="5" max="5" width="17.3984375" customWidth="1"/>
    <col min="6" max="6" width="13" customWidth="1"/>
    <col min="7" max="7" width="43.3984375" customWidth="1"/>
    <col min="8" max="8" width="32.09765625" customWidth="1"/>
    <col min="9" max="9" width="45.69921875" customWidth="1"/>
  </cols>
  <sheetData>
    <row r="1" spans="1:13">
      <c r="A1" s="33" t="s">
        <v>585</v>
      </c>
      <c r="B1" s="33"/>
      <c r="C1" s="33"/>
      <c r="D1" s="33"/>
      <c r="E1" s="33"/>
      <c r="F1" s="33"/>
      <c r="G1" s="33"/>
      <c r="H1" s="33"/>
      <c r="I1" s="33"/>
      <c r="J1" s="34"/>
      <c r="K1" s="34"/>
      <c r="L1" s="34"/>
      <c r="M1" s="34"/>
    </row>
    <row r="2" spans="1:13">
      <c r="A2" s="33" t="s">
        <v>586</v>
      </c>
      <c r="B2" s="33"/>
      <c r="C2" s="33"/>
      <c r="D2" s="33"/>
      <c r="E2" s="33"/>
      <c r="F2" s="33"/>
      <c r="G2" s="33"/>
      <c r="H2" s="33"/>
      <c r="I2" s="33"/>
      <c r="J2" s="34"/>
      <c r="K2" s="34"/>
      <c r="L2" s="34"/>
      <c r="M2" s="34"/>
    </row>
    <row r="3" spans="1:13">
      <c r="A3" s="19"/>
      <c r="B3" s="19"/>
      <c r="C3" s="19"/>
      <c r="D3" s="19"/>
      <c r="E3" s="19"/>
      <c r="F3" s="19"/>
      <c r="G3" s="19"/>
      <c r="H3" s="19"/>
      <c r="I3" s="19"/>
    </row>
    <row r="4" spans="1:13">
      <c r="A4" s="28" t="s">
        <v>587</v>
      </c>
      <c r="B4" s="28" t="s">
        <v>3</v>
      </c>
      <c r="C4" s="28" t="s">
        <v>588</v>
      </c>
      <c r="D4" s="28" t="s">
        <v>92</v>
      </c>
      <c r="E4" s="19" t="s">
        <v>674</v>
      </c>
      <c r="F4" s="19" t="s">
        <v>675</v>
      </c>
      <c r="G4" s="19"/>
      <c r="H4" s="19"/>
      <c r="I4" s="19"/>
    </row>
    <row r="5" spans="1:13">
      <c r="A5" s="19" t="s">
        <v>589</v>
      </c>
      <c r="B5" s="19" t="s">
        <v>590</v>
      </c>
      <c r="C5" s="19" t="s">
        <v>591</v>
      </c>
      <c r="D5" s="19" t="s">
        <v>592</v>
      </c>
      <c r="E5" s="19"/>
      <c r="F5" s="19"/>
      <c r="G5" s="19"/>
      <c r="H5" s="19"/>
      <c r="I5" s="19"/>
    </row>
    <row r="6" spans="1:13">
      <c r="A6" s="19" t="s">
        <v>593</v>
      </c>
      <c r="B6" s="30">
        <v>100000</v>
      </c>
      <c r="C6" s="19" t="s">
        <v>594</v>
      </c>
      <c r="D6" s="19" t="s">
        <v>595</v>
      </c>
      <c r="E6" s="19"/>
      <c r="F6" s="19"/>
      <c r="G6" s="19"/>
      <c r="H6" s="19"/>
      <c r="I6" s="19"/>
    </row>
    <row r="7" spans="1:13" ht="27.6">
      <c r="A7" s="19" t="s">
        <v>596</v>
      </c>
      <c r="B7" s="30" t="e">
        <f ca="1">SUM(D24:D32)</f>
        <v>#NAME?</v>
      </c>
      <c r="C7" s="19" t="s">
        <v>597</v>
      </c>
      <c r="D7" s="19" t="s">
        <v>598</v>
      </c>
      <c r="E7" s="19"/>
      <c r="F7" s="19"/>
      <c r="G7" s="19"/>
      <c r="H7" s="19"/>
      <c r="I7" s="19"/>
    </row>
    <row r="8" spans="1:13" ht="27.6">
      <c r="A8" s="19" t="s">
        <v>599</v>
      </c>
      <c r="B8" s="19" t="s">
        <v>17</v>
      </c>
      <c r="C8" s="19" t="s">
        <v>600</v>
      </c>
      <c r="D8" s="19" t="s">
        <v>601</v>
      </c>
      <c r="E8" s="19"/>
      <c r="F8" s="19"/>
      <c r="G8" s="19"/>
      <c r="H8" s="19"/>
      <c r="I8" s="19"/>
    </row>
    <row r="9" spans="1:13">
      <c r="A9" s="19" t="s">
        <v>602</v>
      </c>
      <c r="B9" s="30" t="e">
        <f ca="1">_xludf.XLOOKUP(B8,A14:A17,E14:E17,0)</f>
        <v>#NAME?</v>
      </c>
      <c r="C9" s="19" t="s">
        <v>603</v>
      </c>
      <c r="D9" s="19" t="s">
        <v>604</v>
      </c>
      <c r="E9" s="19"/>
      <c r="F9" s="19"/>
      <c r="G9" s="19"/>
      <c r="H9" s="19"/>
      <c r="I9" s="19"/>
    </row>
    <row r="10" spans="1:13" ht="27.6">
      <c r="A10" s="19" t="s">
        <v>605</v>
      </c>
      <c r="B10" s="30" t="e">
        <f ca="1">MIN(B7,B9)</f>
        <v>#NAME?</v>
      </c>
      <c r="C10" s="19" t="s">
        <v>606</v>
      </c>
      <c r="D10" s="19" t="s">
        <v>607</v>
      </c>
      <c r="E10" s="19"/>
      <c r="F10" s="19"/>
      <c r="G10" s="19"/>
      <c r="H10" s="19"/>
      <c r="I10" s="19"/>
    </row>
    <row r="11" spans="1:13">
      <c r="A11" s="19"/>
      <c r="B11" s="19"/>
      <c r="C11" s="19"/>
      <c r="D11" s="19"/>
      <c r="E11" s="19"/>
      <c r="F11" s="19"/>
      <c r="G11" s="19"/>
      <c r="H11" s="19"/>
      <c r="I11" s="19"/>
    </row>
    <row r="12" spans="1:13">
      <c r="A12" s="19"/>
      <c r="B12" s="19"/>
      <c r="C12" s="19"/>
      <c r="D12" s="19"/>
      <c r="E12" s="19"/>
      <c r="F12" s="19"/>
      <c r="G12" s="19"/>
      <c r="H12" s="19"/>
      <c r="I12" s="19"/>
    </row>
    <row r="13" spans="1:13" ht="27.6">
      <c r="A13" s="28" t="s">
        <v>566</v>
      </c>
      <c r="B13" s="28" t="s">
        <v>608</v>
      </c>
      <c r="C13" s="28" t="s">
        <v>609</v>
      </c>
      <c r="D13" s="28" t="s">
        <v>610</v>
      </c>
      <c r="E13" s="28" t="s">
        <v>611</v>
      </c>
      <c r="F13" s="28" t="s">
        <v>612</v>
      </c>
      <c r="G13" s="28" t="s">
        <v>613</v>
      </c>
      <c r="H13" s="28" t="s">
        <v>69</v>
      </c>
      <c r="I13" s="28" t="s">
        <v>614</v>
      </c>
    </row>
    <row r="14" spans="1:13" ht="27.6">
      <c r="A14" s="19" t="s">
        <v>11</v>
      </c>
      <c r="B14" s="19" t="s">
        <v>577</v>
      </c>
      <c r="C14" s="29">
        <v>0.02</v>
      </c>
      <c r="D14" s="19" t="s">
        <v>615</v>
      </c>
      <c r="E14" s="30">
        <f>$B$6*C14</f>
        <v>2000</v>
      </c>
      <c r="F14" s="30" t="e">
        <f ca="1">MIN($B$7,E14)</f>
        <v>#NAME?</v>
      </c>
      <c r="G14" s="19" t="s">
        <v>616</v>
      </c>
      <c r="H14" s="19" t="s">
        <v>413</v>
      </c>
      <c r="I14" s="19" t="s">
        <v>617</v>
      </c>
    </row>
    <row r="15" spans="1:13">
      <c r="A15" s="19" t="s">
        <v>14</v>
      </c>
      <c r="B15" s="19" t="s">
        <v>574</v>
      </c>
      <c r="C15" s="29">
        <v>0.03</v>
      </c>
      <c r="D15" s="19" t="s">
        <v>618</v>
      </c>
      <c r="E15" s="30">
        <f>$B$6*C15</f>
        <v>3000</v>
      </c>
      <c r="F15" s="30" t="e">
        <f ca="1">MIN($B$7,E15)</f>
        <v>#NAME?</v>
      </c>
      <c r="G15" s="19" t="s">
        <v>619</v>
      </c>
      <c r="H15" s="19" t="s">
        <v>620</v>
      </c>
      <c r="I15" s="19" t="s">
        <v>621</v>
      </c>
    </row>
    <row r="16" spans="1:13" ht="27.6">
      <c r="A16" s="19" t="s">
        <v>17</v>
      </c>
      <c r="B16" s="19" t="s">
        <v>571</v>
      </c>
      <c r="C16" s="29">
        <v>4.4999999999999998E-2</v>
      </c>
      <c r="D16" s="19" t="s">
        <v>622</v>
      </c>
      <c r="E16" s="30">
        <f>$B$6*C16</f>
        <v>4500</v>
      </c>
      <c r="F16" s="30" t="e">
        <f ca="1">MIN($B$7,E16)</f>
        <v>#NAME?</v>
      </c>
      <c r="G16" s="19" t="s">
        <v>623</v>
      </c>
      <c r="H16" s="19" t="s">
        <v>394</v>
      </c>
      <c r="I16" s="19" t="s">
        <v>624</v>
      </c>
    </row>
    <row r="17" spans="1:9" ht="27.6">
      <c r="A17" s="19" t="s">
        <v>19</v>
      </c>
      <c r="B17" s="19" t="s">
        <v>625</v>
      </c>
      <c r="C17" s="29">
        <v>0.06</v>
      </c>
      <c r="D17" s="19" t="s">
        <v>626</v>
      </c>
      <c r="E17" s="30">
        <f>$B$6*C17</f>
        <v>6000</v>
      </c>
      <c r="F17" s="30" t="e">
        <f ca="1">MIN($B$7,E17)</f>
        <v>#NAME?</v>
      </c>
      <c r="G17" s="19" t="s">
        <v>627</v>
      </c>
      <c r="H17" s="19" t="s">
        <v>628</v>
      </c>
      <c r="I17" s="19" t="s">
        <v>629</v>
      </c>
    </row>
    <row r="18" spans="1:9">
      <c r="A18" s="19"/>
      <c r="B18" s="19"/>
      <c r="C18" s="19"/>
      <c r="D18" s="19"/>
      <c r="E18" s="19"/>
      <c r="F18" s="19"/>
      <c r="G18" s="19"/>
      <c r="H18" s="19"/>
      <c r="I18" s="19"/>
    </row>
    <row r="19" spans="1:9">
      <c r="A19" s="19"/>
      <c r="B19" s="19"/>
      <c r="C19" s="19"/>
      <c r="D19" s="19"/>
      <c r="E19" s="19"/>
      <c r="F19" s="19"/>
      <c r="G19" s="19"/>
      <c r="H19" s="19"/>
      <c r="I19" s="19"/>
    </row>
    <row r="20" spans="1:9">
      <c r="A20" s="28" t="s">
        <v>630</v>
      </c>
      <c r="B20" s="28"/>
      <c r="C20" s="28"/>
      <c r="D20" s="28"/>
      <c r="E20" s="28"/>
      <c r="F20" s="28"/>
      <c r="G20" s="28"/>
      <c r="H20" s="28"/>
      <c r="I20" s="28"/>
    </row>
    <row r="21" spans="1:9" ht="27.6">
      <c r="A21" s="19" t="s">
        <v>631</v>
      </c>
      <c r="B21" s="19"/>
      <c r="C21" s="19"/>
      <c r="D21" s="19"/>
      <c r="E21" s="19"/>
      <c r="F21" s="19"/>
      <c r="G21" s="19"/>
      <c r="H21" s="19"/>
      <c r="I21" s="19"/>
    </row>
    <row r="22" spans="1:9">
      <c r="A22" s="19"/>
      <c r="B22" s="19"/>
      <c r="C22" s="19"/>
      <c r="D22" s="19"/>
      <c r="E22" s="19"/>
      <c r="F22" s="19"/>
      <c r="G22" s="19"/>
      <c r="H22" s="19"/>
      <c r="I22" s="19"/>
    </row>
    <row r="23" spans="1:9" ht="27.6">
      <c r="A23" s="28" t="s">
        <v>113</v>
      </c>
      <c r="B23" s="28" t="s">
        <v>632</v>
      </c>
      <c r="C23" s="28" t="s">
        <v>633</v>
      </c>
      <c r="D23" s="28" t="s">
        <v>634</v>
      </c>
      <c r="E23" s="28" t="s">
        <v>635</v>
      </c>
      <c r="F23" s="19"/>
      <c r="G23" s="19"/>
      <c r="H23" s="19"/>
      <c r="I23" s="19"/>
    </row>
    <row r="24" spans="1:9">
      <c r="A24" s="19" t="s">
        <v>215</v>
      </c>
      <c r="B24" s="32">
        <v>0</v>
      </c>
      <c r="C24" s="30" t="e">
        <f ca="1">_xludf.XLOOKUP(A24,'Produtos e Pesos'!$A$5:$A$13,'Produtos e Pesos'!$G$5:$G$13,0)</f>
        <v>#NAME?</v>
      </c>
      <c r="D24" s="30" t="e">
        <f t="shared" ref="D24:D32" ca="1" si="0">B24*C24</f>
        <v>#NAME?</v>
      </c>
      <c r="E24" s="30" t="e">
        <f ca="1">B24*_xludf.XLOOKUP(A24,'Produtos e Pesos'!$A$5:$A$13,'Produtos e Pesos'!$D$5:$D$13,0)</f>
        <v>#NAME?</v>
      </c>
      <c r="F24" s="19"/>
      <c r="G24" s="19"/>
      <c r="H24" s="19"/>
      <c r="I24" s="19"/>
    </row>
    <row r="25" spans="1:9">
      <c r="A25" s="19" t="s">
        <v>216</v>
      </c>
      <c r="B25" s="32">
        <v>0</v>
      </c>
      <c r="C25" s="30" t="e">
        <f ca="1">_xludf.XLOOKUP(A25,'Produtos e Pesos'!$A$5:$A$13,'Produtos e Pesos'!$G$5:$G$13,0)</f>
        <v>#NAME?</v>
      </c>
      <c r="D25" s="30" t="e">
        <f t="shared" ca="1" si="0"/>
        <v>#NAME?</v>
      </c>
      <c r="E25" s="30" t="e">
        <f ca="1">B25*_xludf.XLOOKUP(A25,'Produtos e Pesos'!$A$5:$A$13,'Produtos e Pesos'!$D$5:$D$13,0)</f>
        <v>#NAME?</v>
      </c>
      <c r="F25" s="19"/>
      <c r="G25" s="19"/>
      <c r="H25" s="19"/>
      <c r="I25" s="19"/>
    </row>
    <row r="26" spans="1:9">
      <c r="A26" s="19" t="s">
        <v>217</v>
      </c>
      <c r="B26" s="32">
        <v>0</v>
      </c>
      <c r="C26" s="30" t="e">
        <f ca="1">_xludf.XLOOKUP(A26,'Produtos e Pesos'!$A$5:$A$13,'Produtos e Pesos'!$G$5:$G$13,0)</f>
        <v>#NAME?</v>
      </c>
      <c r="D26" s="30" t="e">
        <f t="shared" ca="1" si="0"/>
        <v>#NAME?</v>
      </c>
      <c r="E26" s="30" t="e">
        <f ca="1">B26*_xludf.XLOOKUP(A26,'Produtos e Pesos'!$A$5:$A$13,'Produtos e Pesos'!$D$5:$D$13,0)</f>
        <v>#NAME?</v>
      </c>
      <c r="F26" s="19"/>
      <c r="G26" s="19"/>
      <c r="H26" s="19"/>
      <c r="I26" s="19"/>
    </row>
    <row r="27" spans="1:9">
      <c r="A27" s="19" t="s">
        <v>218</v>
      </c>
      <c r="B27" s="32">
        <v>0</v>
      </c>
      <c r="C27" s="30" t="e">
        <f ca="1">_xludf.XLOOKUP(A27,'Produtos e Pesos'!$A$5:$A$13,'Produtos e Pesos'!$G$5:$G$13,0)</f>
        <v>#NAME?</v>
      </c>
      <c r="D27" s="30" t="e">
        <f t="shared" ca="1" si="0"/>
        <v>#NAME?</v>
      </c>
      <c r="E27" s="30" t="e">
        <f ca="1">B27*_xludf.XLOOKUP(A27,'Produtos e Pesos'!$A$5:$A$13,'Produtos e Pesos'!$D$5:$D$13,0)</f>
        <v>#NAME?</v>
      </c>
      <c r="F27" s="19"/>
      <c r="G27" s="19"/>
      <c r="H27" s="19"/>
      <c r="I27" s="19"/>
    </row>
    <row r="28" spans="1:9">
      <c r="A28" s="19" t="s">
        <v>219</v>
      </c>
      <c r="B28" s="32">
        <v>0</v>
      </c>
      <c r="C28" s="30" t="e">
        <f ca="1">_xludf.XLOOKUP(A28,'Produtos e Pesos'!$A$5:$A$13,'Produtos e Pesos'!$G$5:$G$13,0)</f>
        <v>#NAME?</v>
      </c>
      <c r="D28" s="30" t="e">
        <f t="shared" ca="1" si="0"/>
        <v>#NAME?</v>
      </c>
      <c r="E28" s="30" t="e">
        <f ca="1">B28*_xludf.XLOOKUP(A28,'Produtos e Pesos'!$A$5:$A$13,'Produtos e Pesos'!$D$5:$D$13,0)</f>
        <v>#NAME?</v>
      </c>
      <c r="F28" s="19"/>
      <c r="G28" s="19"/>
      <c r="H28" s="19"/>
      <c r="I28" s="19"/>
    </row>
    <row r="29" spans="1:9">
      <c r="A29" s="19" t="s">
        <v>220</v>
      </c>
      <c r="B29" s="32">
        <v>0</v>
      </c>
      <c r="C29" s="30" t="e">
        <f ca="1">_xludf.XLOOKUP(A29,'Produtos e Pesos'!$A$5:$A$13,'Produtos e Pesos'!$G$5:$G$13,0)</f>
        <v>#NAME?</v>
      </c>
      <c r="D29" s="30" t="e">
        <f t="shared" ca="1" si="0"/>
        <v>#NAME?</v>
      </c>
      <c r="E29" s="30" t="e">
        <f ca="1">B29*_xludf.XLOOKUP(A29,'Produtos e Pesos'!$A$5:$A$13,'Produtos e Pesos'!$D$5:$D$13,0)</f>
        <v>#NAME?</v>
      </c>
      <c r="F29" s="19"/>
      <c r="G29" s="19"/>
      <c r="H29" s="19"/>
      <c r="I29" s="19"/>
    </row>
    <row r="30" spans="1:9">
      <c r="A30" s="19" t="s">
        <v>221</v>
      </c>
      <c r="B30" s="32">
        <v>0</v>
      </c>
      <c r="C30" s="30" t="e">
        <f ca="1">_xludf.XLOOKUP(A30,'Produtos e Pesos'!$A$5:$A$13,'Produtos e Pesos'!$G$5:$G$13,0)</f>
        <v>#NAME?</v>
      </c>
      <c r="D30" s="30" t="e">
        <f t="shared" ca="1" si="0"/>
        <v>#NAME?</v>
      </c>
      <c r="E30" s="30" t="e">
        <f ca="1">B30*_xludf.XLOOKUP(A30,'Produtos e Pesos'!$A$5:$A$13,'Produtos e Pesos'!$D$5:$D$13,0)</f>
        <v>#NAME?</v>
      </c>
      <c r="F30" s="19"/>
      <c r="G30" s="19"/>
      <c r="H30" s="19"/>
      <c r="I30" s="19"/>
    </row>
    <row r="31" spans="1:9">
      <c r="A31" s="19" t="s">
        <v>222</v>
      </c>
      <c r="B31" s="32">
        <v>0</v>
      </c>
      <c r="C31" s="30" t="e">
        <f ca="1">_xludf.XLOOKUP(A31,'Produtos e Pesos'!$A$5:$A$13,'Produtos e Pesos'!$G$5:$G$13,0)</f>
        <v>#NAME?</v>
      </c>
      <c r="D31" s="30" t="e">
        <f t="shared" ca="1" si="0"/>
        <v>#NAME?</v>
      </c>
      <c r="E31" s="30" t="e">
        <f ca="1">B31*_xludf.XLOOKUP(A31,'Produtos e Pesos'!$A$5:$A$13,'Produtos e Pesos'!$D$5:$D$13,0)</f>
        <v>#NAME?</v>
      </c>
      <c r="F31" s="19"/>
      <c r="G31" s="19"/>
      <c r="H31" s="19"/>
      <c r="I31" s="19"/>
    </row>
    <row r="32" spans="1:9">
      <c r="A32" s="19" t="s">
        <v>223</v>
      </c>
      <c r="B32" s="32">
        <v>0</v>
      </c>
      <c r="C32" s="30" t="e">
        <f ca="1">_xludf.XLOOKUP(A32,'Produtos e Pesos'!$A$5:$A$13,'Produtos e Pesos'!$G$5:$G$13,0)</f>
        <v>#NAME?</v>
      </c>
      <c r="D32" s="30" t="e">
        <f t="shared" ca="1" si="0"/>
        <v>#NAME?</v>
      </c>
      <c r="E32" s="30" t="e">
        <f ca="1">B32*_xludf.XLOOKUP(A32,'Produtos e Pesos'!$A$5:$A$13,'Produtos e Pesos'!$D$5:$D$13,0)</f>
        <v>#NAME?</v>
      </c>
      <c r="F32" s="19"/>
      <c r="G32" s="19"/>
      <c r="H32" s="19"/>
      <c r="I32" s="19"/>
    </row>
    <row r="33" spans="1:9">
      <c r="A33" s="19"/>
      <c r="B33" s="19"/>
      <c r="C33" s="19"/>
      <c r="D33" s="19"/>
      <c r="E33" s="19"/>
      <c r="F33" s="19"/>
      <c r="G33" s="19"/>
      <c r="H33" s="19"/>
      <c r="I33" s="19"/>
    </row>
    <row r="34" spans="1:9">
      <c r="A34" s="28" t="s">
        <v>636</v>
      </c>
      <c r="B34" s="28" t="s">
        <v>637</v>
      </c>
      <c r="C34" s="28" t="s">
        <v>638</v>
      </c>
      <c r="D34" s="28"/>
      <c r="E34" s="28"/>
      <c r="F34" s="19"/>
      <c r="G34" s="19"/>
      <c r="H34" s="19"/>
      <c r="I34" s="19"/>
    </row>
    <row r="35" spans="1:9">
      <c r="A35" s="19" t="s">
        <v>634</v>
      </c>
      <c r="B35" s="19" t="s">
        <v>639</v>
      </c>
      <c r="C35" s="19" t="s">
        <v>640</v>
      </c>
      <c r="D35" s="19"/>
      <c r="E35" s="19"/>
      <c r="F35" s="19"/>
      <c r="G35" s="19"/>
      <c r="H35" s="19"/>
      <c r="I35" s="19"/>
    </row>
    <row r="36" spans="1:9" ht="27.6">
      <c r="A36" s="19" t="s">
        <v>641</v>
      </c>
      <c r="B36" s="19" t="s">
        <v>603</v>
      </c>
      <c r="C36" s="19" t="s">
        <v>642</v>
      </c>
      <c r="D36" s="19"/>
      <c r="E36" s="19"/>
      <c r="F36" s="19"/>
      <c r="G36" s="19"/>
      <c r="H36" s="19"/>
      <c r="I36" s="19"/>
    </row>
    <row r="37" spans="1:9" ht="27.6">
      <c r="A37" s="19" t="s">
        <v>612</v>
      </c>
      <c r="B37" s="19" t="s">
        <v>643</v>
      </c>
      <c r="C37" s="19" t="s">
        <v>644</v>
      </c>
      <c r="D37" s="19"/>
      <c r="E37" s="19"/>
      <c r="F37" s="19"/>
      <c r="G37" s="19"/>
      <c r="H37" s="19"/>
      <c r="I37" s="19"/>
    </row>
  </sheetData>
  <mergeCells count="2">
    <mergeCell ref="A1:M1"/>
    <mergeCell ref="A2:M2"/>
  </mergeCells>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N20"/>
  <sheetViews>
    <sheetView showGridLines="0" topLeftCell="B1" workbookViewId="0">
      <selection activeCell="H5" sqref="H5"/>
    </sheetView>
  </sheetViews>
  <sheetFormatPr defaultRowHeight="13.8"/>
  <cols>
    <col min="1" max="1" width="101.5" customWidth="1"/>
    <col min="2" max="2" width="73.19921875" customWidth="1"/>
    <col min="3" max="3" width="62" bestFit="1" customWidth="1"/>
    <col min="4" max="4" width="20" customWidth="1"/>
    <col min="5" max="5" width="16.5" customWidth="1"/>
    <col min="6" max="6" width="18.69921875" customWidth="1"/>
    <col min="7" max="7" width="17.5" customWidth="1"/>
    <col min="8" max="8" width="16.8984375" customWidth="1"/>
    <col min="9" max="9" width="58.5" customWidth="1"/>
  </cols>
  <sheetData>
    <row r="1" spans="1:14">
      <c r="A1" s="33" t="s">
        <v>645</v>
      </c>
      <c r="B1" s="33"/>
      <c r="C1" s="33"/>
      <c r="D1" s="33"/>
      <c r="E1" s="33"/>
      <c r="F1" s="33"/>
      <c r="G1" s="33"/>
      <c r="H1" s="33"/>
      <c r="I1" s="33"/>
      <c r="J1" s="34"/>
      <c r="K1" s="34"/>
      <c r="L1" s="34"/>
      <c r="M1" s="34"/>
      <c r="N1" s="34"/>
    </row>
    <row r="2" spans="1:14">
      <c r="A2" s="33" t="s">
        <v>646</v>
      </c>
      <c r="B2" s="33"/>
      <c r="C2" s="33"/>
      <c r="D2" s="33"/>
      <c r="E2" s="33"/>
      <c r="F2" s="33"/>
      <c r="G2" s="33"/>
      <c r="H2" s="33"/>
      <c r="I2" s="33"/>
      <c r="J2" s="34"/>
      <c r="K2" s="34"/>
      <c r="L2" s="34"/>
      <c r="M2" s="34"/>
      <c r="N2" s="34"/>
    </row>
    <row r="3" spans="1:14">
      <c r="A3" s="19"/>
      <c r="B3" s="19"/>
      <c r="C3" s="19"/>
      <c r="D3" s="19"/>
      <c r="E3" s="19"/>
      <c r="F3" s="19"/>
      <c r="G3" s="19"/>
      <c r="H3" s="19"/>
      <c r="I3" s="19"/>
    </row>
    <row r="4" spans="1:14" ht="27.6">
      <c r="A4" s="28" t="s">
        <v>113</v>
      </c>
      <c r="B4" s="28" t="s">
        <v>488</v>
      </c>
      <c r="C4" s="28" t="s">
        <v>647</v>
      </c>
      <c r="D4" s="28" t="s">
        <v>648</v>
      </c>
      <c r="E4" s="28" t="s">
        <v>649</v>
      </c>
      <c r="F4" s="28" t="s">
        <v>650</v>
      </c>
      <c r="G4" s="28" t="s">
        <v>633</v>
      </c>
      <c r="H4" s="28" t="s">
        <v>651</v>
      </c>
      <c r="I4" s="28" t="s">
        <v>652</v>
      </c>
    </row>
    <row r="5" spans="1:14" ht="27.6">
      <c r="A5" s="19" t="s">
        <v>215</v>
      </c>
      <c r="B5" s="19" t="s">
        <v>125</v>
      </c>
      <c r="C5" s="29">
        <v>0.05</v>
      </c>
      <c r="D5" s="30">
        <v>221</v>
      </c>
      <c r="E5" s="31">
        <v>0.25</v>
      </c>
      <c r="F5" s="30">
        <f t="shared" ref="F5:F13" si="0">D5*E5</f>
        <v>55.25</v>
      </c>
      <c r="G5" s="30">
        <f>D5*C5</f>
        <v>11.05</v>
      </c>
      <c r="H5" s="30">
        <f>G5*E5</f>
        <v>2.7625000000000002</v>
      </c>
      <c r="I5" s="19" t="s">
        <v>653</v>
      </c>
    </row>
    <row r="6" spans="1:14" ht="27.6">
      <c r="A6" s="19" t="s">
        <v>216</v>
      </c>
      <c r="B6" s="19" t="s">
        <v>125</v>
      </c>
      <c r="C6" s="29">
        <v>0.08</v>
      </c>
      <c r="D6" s="30">
        <v>80</v>
      </c>
      <c r="E6" s="31">
        <v>0.4</v>
      </c>
      <c r="F6" s="30">
        <f t="shared" si="0"/>
        <v>32</v>
      </c>
      <c r="G6" s="30">
        <f t="shared" ref="G6:G13" si="1">D6*C6</f>
        <v>6.4</v>
      </c>
      <c r="H6" s="30">
        <f t="shared" ref="H6:H13" si="2">G6*E6</f>
        <v>2.5600000000000005</v>
      </c>
      <c r="I6" s="19" t="s">
        <v>654</v>
      </c>
    </row>
    <row r="7" spans="1:14">
      <c r="A7" s="19" t="s">
        <v>217</v>
      </c>
      <c r="B7" s="19" t="s">
        <v>123</v>
      </c>
      <c r="C7" s="29">
        <v>0.02</v>
      </c>
      <c r="D7" s="30">
        <v>180</v>
      </c>
      <c r="E7" s="31">
        <v>0.4</v>
      </c>
      <c r="F7" s="30">
        <f t="shared" si="0"/>
        <v>72</v>
      </c>
      <c r="G7" s="30">
        <f t="shared" si="1"/>
        <v>3.6</v>
      </c>
      <c r="H7" s="30">
        <f t="shared" si="2"/>
        <v>1.4400000000000002</v>
      </c>
      <c r="I7" s="19" t="s">
        <v>656</v>
      </c>
    </row>
    <row r="8" spans="1:14" ht="27.6">
      <c r="A8" s="19" t="s">
        <v>218</v>
      </c>
      <c r="B8" s="19" t="s">
        <v>125</v>
      </c>
      <c r="C8" s="29">
        <v>0.06</v>
      </c>
      <c r="D8" s="30">
        <v>180</v>
      </c>
      <c r="E8" s="31">
        <v>0.2</v>
      </c>
      <c r="F8" s="30">
        <f t="shared" si="0"/>
        <v>36</v>
      </c>
      <c r="G8" s="30">
        <f t="shared" si="1"/>
        <v>10.799999999999999</v>
      </c>
      <c r="H8" s="30">
        <f t="shared" si="2"/>
        <v>2.1599999999999997</v>
      </c>
      <c r="I8" s="19" t="s">
        <v>657</v>
      </c>
    </row>
    <row r="9" spans="1:14" ht="27.6">
      <c r="A9" s="19" t="s">
        <v>219</v>
      </c>
      <c r="B9" s="19" t="s">
        <v>123</v>
      </c>
      <c r="C9" s="29">
        <v>0.02</v>
      </c>
      <c r="D9" s="30">
        <v>70</v>
      </c>
      <c r="E9" s="31">
        <v>0.3</v>
      </c>
      <c r="F9" s="30">
        <f t="shared" si="0"/>
        <v>21</v>
      </c>
      <c r="G9" s="30">
        <f t="shared" si="1"/>
        <v>1.4000000000000001</v>
      </c>
      <c r="H9" s="30">
        <f t="shared" si="2"/>
        <v>0.42000000000000004</v>
      </c>
      <c r="I9" s="19" t="s">
        <v>658</v>
      </c>
    </row>
    <row r="10" spans="1:14" ht="27.6">
      <c r="A10" s="19" t="s">
        <v>220</v>
      </c>
      <c r="B10" s="19" t="s">
        <v>130</v>
      </c>
      <c r="C10" s="29">
        <v>0.02</v>
      </c>
      <c r="D10" s="30">
        <v>90</v>
      </c>
      <c r="E10" s="31">
        <v>0.15</v>
      </c>
      <c r="F10" s="30">
        <f t="shared" si="0"/>
        <v>13.5</v>
      </c>
      <c r="G10" s="30">
        <f t="shared" si="1"/>
        <v>1.8</v>
      </c>
      <c r="H10" s="30">
        <f t="shared" si="2"/>
        <v>0.27</v>
      </c>
      <c r="I10" s="19" t="s">
        <v>659</v>
      </c>
    </row>
    <row r="11" spans="1:14">
      <c r="A11" s="19" t="s">
        <v>221</v>
      </c>
      <c r="B11" s="19" t="s">
        <v>130</v>
      </c>
      <c r="C11" s="29">
        <v>0.02</v>
      </c>
      <c r="D11" s="30">
        <v>95</v>
      </c>
      <c r="E11" s="31">
        <v>0.2</v>
      </c>
      <c r="F11" s="30">
        <f t="shared" si="0"/>
        <v>19</v>
      </c>
      <c r="G11" s="30">
        <f t="shared" si="1"/>
        <v>1.9000000000000001</v>
      </c>
      <c r="H11" s="30">
        <f t="shared" si="2"/>
        <v>0.38000000000000006</v>
      </c>
      <c r="I11" s="19" t="s">
        <v>660</v>
      </c>
    </row>
    <row r="12" spans="1:14" ht="27.6">
      <c r="A12" s="19" t="s">
        <v>222</v>
      </c>
      <c r="B12" s="19" t="s">
        <v>130</v>
      </c>
      <c r="C12" s="29">
        <v>0.02</v>
      </c>
      <c r="D12" s="30">
        <v>30</v>
      </c>
      <c r="E12" s="31">
        <v>1</v>
      </c>
      <c r="F12" s="30">
        <f t="shared" si="0"/>
        <v>30</v>
      </c>
      <c r="G12" s="30">
        <f t="shared" si="1"/>
        <v>0.6</v>
      </c>
      <c r="H12" s="30">
        <f t="shared" si="2"/>
        <v>0.6</v>
      </c>
      <c r="I12" s="19" t="s">
        <v>661</v>
      </c>
    </row>
    <row r="13" spans="1:14" ht="27.6">
      <c r="A13" s="19" t="s">
        <v>223</v>
      </c>
      <c r="B13" s="19" t="s">
        <v>123</v>
      </c>
      <c r="C13" s="29">
        <v>0.02</v>
      </c>
      <c r="D13" s="30">
        <v>22</v>
      </c>
      <c r="E13" s="31">
        <v>0.3</v>
      </c>
      <c r="F13" s="30">
        <f t="shared" si="0"/>
        <v>6.6</v>
      </c>
      <c r="G13" s="30">
        <f t="shared" si="1"/>
        <v>0.44</v>
      </c>
      <c r="H13" s="30">
        <f t="shared" si="2"/>
        <v>0.13200000000000001</v>
      </c>
      <c r="I13" s="19" t="s">
        <v>662</v>
      </c>
    </row>
    <row r="14" spans="1:14">
      <c r="A14" s="19"/>
      <c r="B14" s="19"/>
      <c r="C14" s="19"/>
      <c r="D14" s="19"/>
      <c r="E14" s="19"/>
      <c r="F14" s="19"/>
      <c r="G14" s="19"/>
      <c r="H14" s="19"/>
      <c r="I14" s="19"/>
    </row>
    <row r="15" spans="1:14">
      <c r="A15" s="28" t="s">
        <v>663</v>
      </c>
      <c r="B15" s="28"/>
      <c r="C15" s="28"/>
      <c r="D15" s="28"/>
      <c r="E15" s="28"/>
      <c r="F15" s="28"/>
      <c r="G15" s="28"/>
      <c r="H15" s="28"/>
      <c r="I15" s="28"/>
    </row>
    <row r="16" spans="1:14">
      <c r="A16" s="19" t="s">
        <v>125</v>
      </c>
      <c r="B16" s="19" t="s">
        <v>664</v>
      </c>
      <c r="C16" s="19" t="s">
        <v>665</v>
      </c>
      <c r="D16" s="19"/>
      <c r="E16" s="19"/>
      <c r="F16" s="19"/>
      <c r="G16" s="19"/>
      <c r="H16" s="19"/>
      <c r="I16" s="19"/>
    </row>
    <row r="17" spans="1:9" ht="27.6">
      <c r="A17" s="19" t="s">
        <v>655</v>
      </c>
      <c r="B17" s="19" t="s">
        <v>666</v>
      </c>
      <c r="C17" s="19" t="s">
        <v>667</v>
      </c>
      <c r="D17" s="19"/>
      <c r="E17" s="19"/>
      <c r="F17" s="19"/>
      <c r="G17" s="19"/>
      <c r="H17" s="19"/>
      <c r="I17" s="19"/>
    </row>
    <row r="18" spans="1:9">
      <c r="A18" s="19" t="s">
        <v>123</v>
      </c>
      <c r="B18" s="19" t="s">
        <v>668</v>
      </c>
      <c r="C18" s="19" t="s">
        <v>669</v>
      </c>
      <c r="D18" s="19"/>
      <c r="E18" s="19"/>
      <c r="F18" s="19"/>
      <c r="G18" s="19"/>
      <c r="H18" s="19"/>
      <c r="I18" s="19"/>
    </row>
    <row r="19" spans="1:9" ht="27.6">
      <c r="A19" s="19" t="s">
        <v>130</v>
      </c>
      <c r="B19" s="19" t="s">
        <v>670</v>
      </c>
      <c r="C19" s="19" t="s">
        <v>671</v>
      </c>
      <c r="D19" s="19"/>
      <c r="E19" s="19"/>
      <c r="F19" s="19"/>
      <c r="G19" s="19"/>
      <c r="H19" s="19"/>
      <c r="I19" s="19"/>
    </row>
    <row r="20" spans="1:9" ht="27.6">
      <c r="A20" s="19" t="s">
        <v>672</v>
      </c>
      <c r="B20" s="19" t="s">
        <v>673</v>
      </c>
      <c r="C20" s="19"/>
      <c r="D20" s="19"/>
      <c r="E20" s="19"/>
      <c r="F20" s="19"/>
      <c r="G20" s="19"/>
      <c r="H20" s="19"/>
      <c r="I20" s="19"/>
    </row>
  </sheetData>
  <mergeCells count="2">
    <mergeCell ref="A1:N1"/>
    <mergeCell ref="A2:N2"/>
  </mergeCells>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M16"/>
  <sheetViews>
    <sheetView showGridLines="0" workbookViewId="0">
      <selection sqref="A1:M1"/>
    </sheetView>
  </sheetViews>
  <sheetFormatPr defaultRowHeight="13.8"/>
  <cols>
    <col min="1" max="1" width="16.19921875" customWidth="1"/>
    <col min="2" max="2" width="20" customWidth="1"/>
    <col min="3" max="3" width="18.69921875" customWidth="1"/>
  </cols>
  <sheetData>
    <row r="1" spans="1:13">
      <c r="A1" s="35" t="s">
        <v>468</v>
      </c>
      <c r="B1" s="36"/>
      <c r="C1" s="36"/>
      <c r="D1" s="34"/>
      <c r="E1" s="34"/>
      <c r="F1" s="34"/>
      <c r="G1" s="34"/>
      <c r="H1" s="34"/>
      <c r="I1" s="34"/>
      <c r="J1" s="34"/>
      <c r="K1" s="34"/>
      <c r="L1" s="34"/>
      <c r="M1" s="34"/>
    </row>
    <row r="2" spans="1:13">
      <c r="A2" s="37" t="s">
        <v>469</v>
      </c>
      <c r="B2" s="36"/>
      <c r="C2" s="36"/>
      <c r="D2" s="34"/>
      <c r="E2" s="34"/>
      <c r="F2" s="34"/>
      <c r="G2" s="34"/>
      <c r="H2" s="34"/>
      <c r="I2" s="34"/>
      <c r="J2" s="34"/>
      <c r="K2" s="34"/>
      <c r="L2" s="34"/>
      <c r="M2" s="34"/>
    </row>
    <row r="3" spans="1:13">
      <c r="A3" s="4"/>
      <c r="B3" s="4"/>
      <c r="C3" s="4"/>
    </row>
    <row r="4" spans="1:13">
      <c r="A4" s="1" t="s">
        <v>470</v>
      </c>
      <c r="B4" s="1" t="s">
        <v>471</v>
      </c>
      <c r="C4" s="1" t="s">
        <v>472</v>
      </c>
    </row>
    <row r="5" spans="1:13">
      <c r="A5" s="4" t="s">
        <v>473</v>
      </c>
      <c r="B5" s="5">
        <v>557262.5</v>
      </c>
      <c r="C5" s="10">
        <f t="shared" ref="C5:C16" si="0">B5/SUM($B$5:$B$16)</f>
        <v>4.1406911771262128E-2</v>
      </c>
    </row>
    <row r="6" spans="1:13">
      <c r="A6" s="4" t="s">
        <v>474</v>
      </c>
      <c r="B6" s="5">
        <v>1114525</v>
      </c>
      <c r="C6" s="10">
        <f t="shared" si="0"/>
        <v>8.2813823542524256E-2</v>
      </c>
    </row>
    <row r="7" spans="1:13">
      <c r="A7" s="4" t="s">
        <v>475</v>
      </c>
      <c r="B7" s="5">
        <v>1114525</v>
      </c>
      <c r="C7" s="10">
        <f t="shared" si="0"/>
        <v>8.2813823542524256E-2</v>
      </c>
    </row>
    <row r="8" spans="1:13">
      <c r="A8" s="4" t="s">
        <v>476</v>
      </c>
      <c r="B8" s="5">
        <v>1114525</v>
      </c>
      <c r="C8" s="10">
        <f t="shared" si="0"/>
        <v>8.2813823542524256E-2</v>
      </c>
    </row>
    <row r="9" spans="1:13">
      <c r="A9" s="4" t="s">
        <v>477</v>
      </c>
      <c r="B9" s="5">
        <v>557262.5</v>
      </c>
      <c r="C9" s="10">
        <f t="shared" si="0"/>
        <v>4.1406911771262128E-2</v>
      </c>
    </row>
    <row r="10" spans="1:13">
      <c r="A10" s="4" t="s">
        <v>478</v>
      </c>
      <c r="B10" s="5">
        <v>0</v>
      </c>
      <c r="C10" s="10">
        <f t="shared" si="0"/>
        <v>0</v>
      </c>
    </row>
    <row r="11" spans="1:13">
      <c r="A11" s="4" t="s">
        <v>479</v>
      </c>
      <c r="B11" s="5">
        <v>0</v>
      </c>
      <c r="C11" s="10">
        <f t="shared" si="0"/>
        <v>0</v>
      </c>
    </row>
    <row r="12" spans="1:13">
      <c r="A12" s="4" t="s">
        <v>480</v>
      </c>
      <c r="B12" s="5">
        <v>2250025</v>
      </c>
      <c r="C12" s="10">
        <f t="shared" si="0"/>
        <v>0.16718617645747574</v>
      </c>
    </row>
    <row r="13" spans="1:13">
      <c r="A13" s="4" t="s">
        <v>481</v>
      </c>
      <c r="B13" s="5">
        <v>2250025</v>
      </c>
      <c r="C13" s="10">
        <f t="shared" si="0"/>
        <v>0.16718617645747574</v>
      </c>
    </row>
    <row r="14" spans="1:13">
      <c r="A14" s="4" t="s">
        <v>482</v>
      </c>
      <c r="B14" s="5">
        <v>2250025</v>
      </c>
      <c r="C14" s="10">
        <f t="shared" si="0"/>
        <v>0.16718617645747574</v>
      </c>
    </row>
    <row r="15" spans="1:13">
      <c r="A15" s="4" t="s">
        <v>483</v>
      </c>
      <c r="B15" s="5">
        <v>2250025</v>
      </c>
      <c r="C15" s="10">
        <f t="shared" si="0"/>
        <v>0.16718617645747574</v>
      </c>
    </row>
    <row r="16" spans="1:13">
      <c r="A16" s="4" t="s">
        <v>484</v>
      </c>
      <c r="B16" s="5">
        <v>0</v>
      </c>
      <c r="C16" s="10">
        <f t="shared" si="0"/>
        <v>0</v>
      </c>
    </row>
  </sheetData>
  <mergeCells count="2">
    <mergeCell ref="A1:M1"/>
    <mergeCell ref="A2:M2"/>
  </mergeCells>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M10"/>
  <sheetViews>
    <sheetView showGridLines="0" workbookViewId="0">
      <selection sqref="A1:M1"/>
    </sheetView>
  </sheetViews>
  <sheetFormatPr defaultRowHeight="13.8"/>
  <cols>
    <col min="1" max="2" width="22.5" customWidth="1"/>
    <col min="3" max="3" width="41.19921875" customWidth="1"/>
    <col min="4" max="4" width="32.5" customWidth="1"/>
    <col min="5" max="5" width="22.5" customWidth="1"/>
  </cols>
  <sheetData>
    <row r="1" spans="1:13">
      <c r="A1" s="35" t="s">
        <v>485</v>
      </c>
      <c r="B1" s="36"/>
      <c r="C1" s="36"/>
      <c r="D1" s="36"/>
      <c r="E1" s="36"/>
      <c r="F1" s="34"/>
      <c r="G1" s="34"/>
      <c r="H1" s="34"/>
      <c r="I1" s="34"/>
      <c r="J1" s="34"/>
      <c r="K1" s="34"/>
      <c r="L1" s="34"/>
      <c r="M1" s="34"/>
    </row>
    <row r="2" spans="1:13">
      <c r="A2" s="37" t="s">
        <v>486</v>
      </c>
      <c r="B2" s="36"/>
      <c r="C2" s="36"/>
      <c r="D2" s="36"/>
      <c r="E2" s="36"/>
      <c r="F2" s="34"/>
      <c r="G2" s="34"/>
      <c r="H2" s="34"/>
      <c r="I2" s="34"/>
      <c r="J2" s="34"/>
      <c r="K2" s="34"/>
      <c r="L2" s="34"/>
      <c r="M2" s="34"/>
    </row>
    <row r="3" spans="1:13">
      <c r="A3" s="4"/>
      <c r="B3" s="4"/>
      <c r="C3" s="4"/>
      <c r="D3" s="4"/>
      <c r="E3" s="4"/>
    </row>
    <row r="4" spans="1:13">
      <c r="A4" s="1" t="s">
        <v>487</v>
      </c>
      <c r="B4" s="1" t="s">
        <v>488</v>
      </c>
      <c r="C4" s="1" t="s">
        <v>489</v>
      </c>
      <c r="D4" s="1" t="s">
        <v>490</v>
      </c>
      <c r="E4" s="1" t="s">
        <v>491</v>
      </c>
    </row>
    <row r="5" spans="1:13" ht="27.6">
      <c r="A5" s="4" t="s">
        <v>492</v>
      </c>
      <c r="B5" s="4" t="s">
        <v>493</v>
      </c>
      <c r="C5" s="4" t="s">
        <v>494</v>
      </c>
      <c r="D5" s="4" t="s">
        <v>495</v>
      </c>
      <c r="E5" s="4" t="s">
        <v>496</v>
      </c>
    </row>
    <row r="6" spans="1:13" ht="27.6">
      <c r="A6" s="4" t="s">
        <v>186</v>
      </c>
      <c r="B6" s="4" t="s">
        <v>497</v>
      </c>
      <c r="C6" s="4" t="s">
        <v>498</v>
      </c>
      <c r="D6" s="4" t="s">
        <v>499</v>
      </c>
      <c r="E6" s="4" t="s">
        <v>496</v>
      </c>
    </row>
    <row r="7" spans="1:13" ht="27.6">
      <c r="A7" s="4" t="s">
        <v>425</v>
      </c>
      <c r="B7" s="4" t="s">
        <v>500</v>
      </c>
      <c r="C7" s="4" t="s">
        <v>501</v>
      </c>
      <c r="D7" s="4" t="s">
        <v>502</v>
      </c>
      <c r="E7" s="4" t="s">
        <v>503</v>
      </c>
    </row>
    <row r="8" spans="1:13">
      <c r="A8" s="4" t="s">
        <v>504</v>
      </c>
      <c r="B8" s="4" t="s">
        <v>505</v>
      </c>
      <c r="C8" s="4" t="s">
        <v>506</v>
      </c>
      <c r="D8" s="4" t="s">
        <v>507</v>
      </c>
      <c r="E8" s="4" t="s">
        <v>503</v>
      </c>
    </row>
    <row r="9" spans="1:13" ht="27.6">
      <c r="A9" s="4" t="s">
        <v>508</v>
      </c>
      <c r="B9" s="4" t="s">
        <v>509</v>
      </c>
      <c r="C9" s="4" t="s">
        <v>510</v>
      </c>
      <c r="D9" s="4" t="s">
        <v>511</v>
      </c>
      <c r="E9" s="4" t="s">
        <v>512</v>
      </c>
    </row>
    <row r="10" spans="1:13" ht="27.6">
      <c r="A10" s="4" t="s">
        <v>513</v>
      </c>
      <c r="B10" s="4" t="s">
        <v>514</v>
      </c>
      <c r="C10" s="4" t="s">
        <v>515</v>
      </c>
      <c r="D10" s="4" t="s">
        <v>516</v>
      </c>
      <c r="E10" s="4" t="s">
        <v>496</v>
      </c>
    </row>
  </sheetData>
  <mergeCells count="2">
    <mergeCell ref="A1:M1"/>
    <mergeCell ref="A2:M2"/>
  </mergeCells>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M10"/>
  <sheetViews>
    <sheetView showGridLines="0" workbookViewId="0"/>
  </sheetViews>
  <sheetFormatPr defaultRowHeight="13.8"/>
  <cols>
    <col min="1" max="1" width="26.19921875" customWidth="1"/>
    <col min="2" max="4" width="32.5" customWidth="1"/>
    <col min="5" max="5" width="26.19921875" customWidth="1"/>
  </cols>
  <sheetData>
    <row r="1" spans="1:13">
      <c r="A1" s="35" t="s">
        <v>517</v>
      </c>
      <c r="B1" s="36"/>
      <c r="C1" s="36"/>
      <c r="D1" s="36"/>
      <c r="E1" s="36"/>
      <c r="F1" s="34"/>
      <c r="G1" s="34"/>
      <c r="H1" s="34"/>
      <c r="I1" s="34"/>
      <c r="J1" s="34"/>
      <c r="K1" s="34"/>
      <c r="L1" s="34"/>
      <c r="M1" s="34"/>
    </row>
    <row r="2" spans="1:13">
      <c r="A2" s="37" t="s">
        <v>518</v>
      </c>
      <c r="B2" s="36"/>
      <c r="C2" s="36"/>
      <c r="D2" s="36"/>
      <c r="E2" s="36"/>
      <c r="F2" s="34"/>
      <c r="G2" s="34"/>
      <c r="H2" s="34"/>
      <c r="I2" s="34"/>
      <c r="J2" s="34"/>
      <c r="K2" s="34"/>
      <c r="L2" s="34"/>
      <c r="M2" s="34"/>
    </row>
    <row r="3" spans="1:13">
      <c r="A3" s="4"/>
      <c r="B3" s="4"/>
      <c r="C3" s="4"/>
      <c r="D3" s="4"/>
      <c r="E3" s="4"/>
    </row>
    <row r="4" spans="1:13">
      <c r="A4" s="2" t="s">
        <v>374</v>
      </c>
      <c r="B4" s="2" t="s">
        <v>148</v>
      </c>
      <c r="C4" s="2" t="s">
        <v>519</v>
      </c>
      <c r="D4" s="2" t="s">
        <v>520</v>
      </c>
      <c r="E4" s="2" t="s">
        <v>2</v>
      </c>
    </row>
    <row r="5" spans="1:13" ht="41.4">
      <c r="A5" s="4" t="s">
        <v>349</v>
      </c>
      <c r="B5" s="4" t="s">
        <v>521</v>
      </c>
      <c r="C5" s="4" t="s">
        <v>522</v>
      </c>
      <c r="D5" s="4" t="s">
        <v>523</v>
      </c>
      <c r="E5" s="4" t="s">
        <v>524</v>
      </c>
    </row>
    <row r="6" spans="1:13" ht="27.6">
      <c r="A6" s="4" t="s">
        <v>246</v>
      </c>
      <c r="B6" s="4" t="s">
        <v>525</v>
      </c>
      <c r="C6" s="4" t="s">
        <v>526</v>
      </c>
      <c r="D6" s="4" t="s">
        <v>527</v>
      </c>
      <c r="E6" s="4" t="s">
        <v>528</v>
      </c>
    </row>
    <row r="7" spans="1:13" ht="27.6">
      <c r="A7" s="4" t="s">
        <v>260</v>
      </c>
      <c r="B7" s="4" t="s">
        <v>529</v>
      </c>
      <c r="C7" s="4" t="s">
        <v>530</v>
      </c>
      <c r="D7" s="4" t="s">
        <v>531</v>
      </c>
      <c r="E7" s="4" t="s">
        <v>532</v>
      </c>
    </row>
    <row r="8" spans="1:13" ht="41.4">
      <c r="A8" s="4" t="s">
        <v>273</v>
      </c>
      <c r="B8" s="4" t="s">
        <v>533</v>
      </c>
      <c r="C8" s="4" t="s">
        <v>534</v>
      </c>
      <c r="D8" s="4" t="s">
        <v>535</v>
      </c>
      <c r="E8" s="4" t="s">
        <v>224</v>
      </c>
    </row>
    <row r="9" spans="1:13" ht="27.6">
      <c r="A9" s="4" t="s">
        <v>236</v>
      </c>
      <c r="B9" s="4" t="s">
        <v>536</v>
      </c>
      <c r="C9" s="4" t="s">
        <v>537</v>
      </c>
      <c r="D9" s="4" t="s">
        <v>538</v>
      </c>
      <c r="E9" s="4" t="s">
        <v>539</v>
      </c>
    </row>
    <row r="10" spans="1:13" ht="41.4">
      <c r="A10" s="4" t="s">
        <v>241</v>
      </c>
      <c r="B10" s="4" t="s">
        <v>540</v>
      </c>
      <c r="C10" s="4" t="s">
        <v>541</v>
      </c>
      <c r="D10" s="4" t="s">
        <v>542</v>
      </c>
      <c r="E10" s="4" t="s">
        <v>543</v>
      </c>
    </row>
  </sheetData>
  <mergeCells count="2">
    <mergeCell ref="A1:M1"/>
    <mergeCell ref="A2:M2"/>
  </mergeCells>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H34"/>
  <sheetViews>
    <sheetView showGridLines="0" workbookViewId="0"/>
  </sheetViews>
  <sheetFormatPr defaultRowHeight="13.8"/>
  <cols>
    <col min="1" max="1" width="89.19921875" customWidth="1"/>
    <col min="2" max="2" width="10.69921875" customWidth="1"/>
    <col min="3" max="3" width="25.8984375" customWidth="1"/>
    <col min="4" max="4" width="72.19921875" customWidth="1"/>
    <col min="5" max="5" width="7.09765625" customWidth="1"/>
    <col min="6" max="6" width="8.5" customWidth="1"/>
    <col min="7" max="7" width="16.19921875" customWidth="1"/>
    <col min="8" max="8" width="42.59765625" customWidth="1"/>
  </cols>
  <sheetData>
    <row r="1" spans="1:8">
      <c r="A1" s="41" t="s">
        <v>544</v>
      </c>
      <c r="B1" s="41"/>
      <c r="C1" s="41"/>
      <c r="D1" s="41"/>
      <c r="E1" s="41"/>
      <c r="F1" s="41"/>
      <c r="G1" s="41"/>
      <c r="H1" s="41"/>
    </row>
    <row r="2" spans="1:8">
      <c r="A2" s="41" t="s">
        <v>545</v>
      </c>
      <c r="B2" s="41"/>
      <c r="C2" s="41"/>
      <c r="D2" s="41"/>
      <c r="E2" s="41"/>
      <c r="F2" s="41"/>
      <c r="G2" s="41"/>
      <c r="H2" s="41"/>
    </row>
    <row r="3" spans="1:8">
      <c r="A3" s="19"/>
      <c r="B3" s="19"/>
      <c r="C3" s="19"/>
      <c r="D3" s="19"/>
      <c r="E3" s="19"/>
      <c r="F3" s="19"/>
      <c r="G3" s="19"/>
      <c r="H3" s="19"/>
    </row>
    <row r="4" spans="1:8">
      <c r="A4" s="20" t="s">
        <v>546</v>
      </c>
      <c r="B4" s="20" t="s">
        <v>547</v>
      </c>
      <c r="C4" s="20" t="s">
        <v>548</v>
      </c>
      <c r="D4" s="20" t="s">
        <v>549</v>
      </c>
      <c r="E4" s="19"/>
      <c r="F4" s="19"/>
      <c r="G4" s="19"/>
      <c r="H4" s="19"/>
    </row>
    <row r="5" spans="1:8" ht="27.6">
      <c r="A5" s="19" t="s">
        <v>550</v>
      </c>
      <c r="B5" s="21">
        <v>25</v>
      </c>
      <c r="C5" s="19" t="s">
        <v>114</v>
      </c>
      <c r="D5" s="19" t="s">
        <v>551</v>
      </c>
      <c r="E5" s="19"/>
      <c r="F5" s="19"/>
      <c r="G5" s="19"/>
      <c r="H5" s="19"/>
    </row>
    <row r="6" spans="1:8">
      <c r="A6" s="19" t="s">
        <v>552</v>
      </c>
      <c r="B6" s="21">
        <v>15</v>
      </c>
      <c r="C6" s="19" t="s">
        <v>208</v>
      </c>
      <c r="D6" s="19" t="s">
        <v>553</v>
      </c>
      <c r="E6" s="19"/>
      <c r="F6" s="19"/>
      <c r="G6" s="19"/>
      <c r="H6" s="19"/>
    </row>
    <row r="7" spans="1:8" ht="27.6">
      <c r="A7" s="19" t="s">
        <v>554</v>
      </c>
      <c r="B7" s="21">
        <v>25</v>
      </c>
      <c r="C7" s="19" t="s">
        <v>555</v>
      </c>
      <c r="D7" s="19" t="s">
        <v>556</v>
      </c>
      <c r="E7" s="19"/>
      <c r="F7" s="19"/>
      <c r="G7" s="19"/>
      <c r="H7" s="19"/>
    </row>
    <row r="8" spans="1:8">
      <c r="A8" s="19" t="s">
        <v>557</v>
      </c>
      <c r="B8" s="21">
        <v>15</v>
      </c>
      <c r="C8" s="19" t="s">
        <v>558</v>
      </c>
      <c r="D8" s="19" t="s">
        <v>559</v>
      </c>
      <c r="E8" s="19"/>
      <c r="F8" s="19"/>
      <c r="G8" s="19"/>
      <c r="H8" s="19"/>
    </row>
    <row r="9" spans="1:8" ht="27.6">
      <c r="A9" s="19" t="s">
        <v>560</v>
      </c>
      <c r="B9" s="21">
        <v>20</v>
      </c>
      <c r="C9" s="19" t="s">
        <v>561</v>
      </c>
      <c r="D9" s="19" t="s">
        <v>562</v>
      </c>
      <c r="E9" s="19"/>
      <c r="F9" s="19"/>
      <c r="G9" s="19"/>
      <c r="H9" s="19"/>
    </row>
    <row r="10" spans="1:8">
      <c r="A10" s="19" t="s">
        <v>22</v>
      </c>
      <c r="B10" s="21">
        <v>100</v>
      </c>
      <c r="C10" s="19" t="s">
        <v>563</v>
      </c>
      <c r="D10" s="19" t="s">
        <v>564</v>
      </c>
      <c r="E10" s="19"/>
      <c r="F10" s="19"/>
      <c r="G10" s="19"/>
      <c r="H10" s="19"/>
    </row>
    <row r="11" spans="1:8">
      <c r="A11" s="19"/>
      <c r="B11" s="19"/>
      <c r="C11" s="19"/>
      <c r="D11" s="19"/>
      <c r="E11" s="19"/>
      <c r="F11" s="19"/>
      <c r="G11" s="19"/>
      <c r="H11" s="19"/>
    </row>
    <row r="12" spans="1:8">
      <c r="A12" s="20" t="s">
        <v>565</v>
      </c>
      <c r="B12" s="20" t="s">
        <v>566</v>
      </c>
      <c r="C12" s="20" t="s">
        <v>8</v>
      </c>
      <c r="D12" s="20" t="s">
        <v>567</v>
      </c>
      <c r="E12" s="19"/>
      <c r="F12" s="19"/>
      <c r="G12" s="19"/>
      <c r="H12" s="19"/>
    </row>
    <row r="13" spans="1:8">
      <c r="A13" s="19" t="s">
        <v>568</v>
      </c>
      <c r="B13" s="19" t="s">
        <v>19</v>
      </c>
      <c r="C13" s="19" t="s">
        <v>569</v>
      </c>
      <c r="D13" s="19" t="s">
        <v>570</v>
      </c>
      <c r="E13" s="19"/>
      <c r="F13" s="19"/>
      <c r="G13" s="19"/>
      <c r="H13" s="19"/>
    </row>
    <row r="14" spans="1:8">
      <c r="A14" s="19" t="s">
        <v>571</v>
      </c>
      <c r="B14" s="19" t="s">
        <v>17</v>
      </c>
      <c r="C14" s="19" t="s">
        <v>572</v>
      </c>
      <c r="D14" s="19" t="s">
        <v>573</v>
      </c>
      <c r="E14" s="19"/>
      <c r="F14" s="19"/>
      <c r="G14" s="19"/>
      <c r="H14" s="19"/>
    </row>
    <row r="15" spans="1:8">
      <c r="A15" s="19" t="s">
        <v>574</v>
      </c>
      <c r="B15" s="19" t="s">
        <v>14</v>
      </c>
      <c r="C15" s="19" t="s">
        <v>575</v>
      </c>
      <c r="D15" s="19" t="s">
        <v>576</v>
      </c>
      <c r="E15" s="19"/>
      <c r="F15" s="19"/>
      <c r="G15" s="19"/>
      <c r="H15" s="19"/>
    </row>
    <row r="16" spans="1:8" ht="27.6">
      <c r="A16" s="19" t="s">
        <v>577</v>
      </c>
      <c r="B16" s="19" t="s">
        <v>11</v>
      </c>
      <c r="C16" s="19" t="s">
        <v>578</v>
      </c>
      <c r="D16" s="19" t="s">
        <v>579</v>
      </c>
      <c r="E16" s="19"/>
      <c r="F16" s="19"/>
      <c r="G16" s="19"/>
      <c r="H16" s="19"/>
    </row>
    <row r="17" spans="1:8">
      <c r="A17" s="19"/>
      <c r="B17" s="19"/>
      <c r="C17" s="19"/>
      <c r="D17" s="19"/>
      <c r="E17" s="19"/>
      <c r="F17" s="19"/>
      <c r="G17" s="19"/>
      <c r="H17" s="19"/>
    </row>
    <row r="18" spans="1:8">
      <c r="A18" s="19" t="s">
        <v>580</v>
      </c>
      <c r="B18" s="19"/>
      <c r="C18" s="19"/>
      <c r="D18" s="19"/>
      <c r="E18" s="19"/>
      <c r="F18" s="19"/>
      <c r="G18" s="19"/>
      <c r="H18" s="19"/>
    </row>
    <row r="19" spans="1:8">
      <c r="A19" s="19" t="s">
        <v>10</v>
      </c>
      <c r="B19" s="19">
        <v>45</v>
      </c>
      <c r="C19" s="19"/>
      <c r="D19" s="19" t="s">
        <v>6</v>
      </c>
      <c r="E19" s="22">
        <v>66.711111111111109</v>
      </c>
      <c r="F19" s="19"/>
      <c r="G19" s="19"/>
      <c r="H19" s="19"/>
    </row>
    <row r="20" spans="1:8">
      <c r="A20" s="19" t="s">
        <v>19</v>
      </c>
      <c r="B20" s="19">
        <v>14</v>
      </c>
      <c r="C20" s="19"/>
      <c r="D20" s="19" t="s">
        <v>17</v>
      </c>
      <c r="E20" s="19">
        <v>9</v>
      </c>
      <c r="F20" s="19"/>
      <c r="G20" s="19" t="s">
        <v>14</v>
      </c>
      <c r="H20" s="19">
        <v>5</v>
      </c>
    </row>
    <row r="21" spans="1:8">
      <c r="A21" s="19" t="s">
        <v>11</v>
      </c>
      <c r="B21" s="19">
        <v>17</v>
      </c>
      <c r="C21" s="19"/>
      <c r="D21" s="19" t="s">
        <v>569</v>
      </c>
      <c r="E21" s="19">
        <v>14</v>
      </c>
      <c r="F21" s="19"/>
      <c r="G21" s="19" t="s">
        <v>572</v>
      </c>
      <c r="H21" s="19">
        <v>9</v>
      </c>
    </row>
    <row r="22" spans="1:8">
      <c r="A22" s="19"/>
      <c r="B22" s="19"/>
      <c r="C22" s="19"/>
      <c r="D22" s="19" t="s">
        <v>575</v>
      </c>
      <c r="E22" s="19">
        <v>5</v>
      </c>
      <c r="F22" s="19"/>
      <c r="G22" s="19" t="s">
        <v>578</v>
      </c>
      <c r="H22" s="19">
        <v>17</v>
      </c>
    </row>
    <row r="23" spans="1:8">
      <c r="A23" s="19"/>
      <c r="B23" s="19"/>
      <c r="C23" s="19"/>
      <c r="D23" s="19"/>
      <c r="E23" s="19"/>
      <c r="F23" s="19"/>
      <c r="G23" s="19"/>
      <c r="H23" s="19"/>
    </row>
    <row r="24" spans="1:8" ht="27.6">
      <c r="A24" s="20" t="s">
        <v>581</v>
      </c>
      <c r="B24" s="20" t="s">
        <v>582</v>
      </c>
      <c r="C24" s="20" t="s">
        <v>566</v>
      </c>
      <c r="D24" s="20" t="s">
        <v>583</v>
      </c>
      <c r="E24" s="20" t="s">
        <v>114</v>
      </c>
      <c r="F24" s="20" t="s">
        <v>208</v>
      </c>
      <c r="G24" s="20" t="s">
        <v>584</v>
      </c>
      <c r="H24" s="20" t="s">
        <v>386</v>
      </c>
    </row>
    <row r="25" spans="1:8" ht="27.6">
      <c r="A25" s="19" t="s">
        <v>267</v>
      </c>
      <c r="B25" s="19">
        <v>100</v>
      </c>
      <c r="C25" s="19" t="s">
        <v>19</v>
      </c>
      <c r="D25" s="19" t="s">
        <v>12</v>
      </c>
      <c r="E25" s="19">
        <v>180000</v>
      </c>
      <c r="F25" s="19" t="s">
        <v>243</v>
      </c>
      <c r="G25" s="19" t="s">
        <v>260</v>
      </c>
      <c r="H25" s="19" t="s">
        <v>395</v>
      </c>
    </row>
    <row r="26" spans="1:8" ht="27.6">
      <c r="A26" s="19" t="s">
        <v>280</v>
      </c>
      <c r="B26" s="19">
        <v>100</v>
      </c>
      <c r="C26" s="19" t="s">
        <v>19</v>
      </c>
      <c r="D26" s="19" t="s">
        <v>12</v>
      </c>
      <c r="E26" s="19">
        <v>190000</v>
      </c>
      <c r="F26" s="19" t="s">
        <v>243</v>
      </c>
      <c r="G26" s="19" t="s">
        <v>260</v>
      </c>
      <c r="H26" s="19" t="s">
        <v>395</v>
      </c>
    </row>
    <row r="27" spans="1:8" ht="27.6">
      <c r="A27" s="19" t="s">
        <v>257</v>
      </c>
      <c r="B27" s="19">
        <v>97</v>
      </c>
      <c r="C27" s="19" t="s">
        <v>19</v>
      </c>
      <c r="D27" s="19" t="s">
        <v>12</v>
      </c>
      <c r="E27" s="19">
        <v>140000</v>
      </c>
      <c r="F27" s="19" t="s">
        <v>243</v>
      </c>
      <c r="G27" s="19" t="s">
        <v>260</v>
      </c>
      <c r="H27" s="19" t="s">
        <v>395</v>
      </c>
    </row>
    <row r="28" spans="1:8" ht="27.6">
      <c r="A28" s="19" t="s">
        <v>310</v>
      </c>
      <c r="B28" s="19">
        <v>97</v>
      </c>
      <c r="C28" s="19" t="s">
        <v>19</v>
      </c>
      <c r="D28" s="19" t="s">
        <v>12</v>
      </c>
      <c r="E28" s="19">
        <v>120000</v>
      </c>
      <c r="F28" s="19" t="s">
        <v>243</v>
      </c>
      <c r="G28" s="19" t="s">
        <v>246</v>
      </c>
      <c r="H28" s="19" t="s">
        <v>395</v>
      </c>
    </row>
    <row r="29" spans="1:8" ht="27.6">
      <c r="A29" s="19" t="s">
        <v>274</v>
      </c>
      <c r="B29" s="19">
        <v>97</v>
      </c>
      <c r="C29" s="19" t="s">
        <v>19</v>
      </c>
      <c r="D29" s="19" t="s">
        <v>12</v>
      </c>
      <c r="E29" s="19">
        <v>95000</v>
      </c>
      <c r="F29" s="19" t="s">
        <v>243</v>
      </c>
      <c r="G29" s="19" t="s">
        <v>260</v>
      </c>
      <c r="H29" s="19" t="s">
        <v>395</v>
      </c>
    </row>
    <row r="30" spans="1:8" ht="27.6">
      <c r="A30" s="19" t="s">
        <v>346</v>
      </c>
      <c r="B30" s="19">
        <v>95</v>
      </c>
      <c r="C30" s="19" t="s">
        <v>19</v>
      </c>
      <c r="D30" s="19" t="s">
        <v>12</v>
      </c>
      <c r="E30" s="19">
        <v>1000000</v>
      </c>
      <c r="F30" s="19" t="s">
        <v>243</v>
      </c>
      <c r="G30" s="19" t="s">
        <v>349</v>
      </c>
      <c r="H30" s="19" t="s">
        <v>406</v>
      </c>
    </row>
    <row r="31" spans="1:8" ht="27.6">
      <c r="A31" s="19" t="s">
        <v>325</v>
      </c>
      <c r="B31" s="19">
        <v>93</v>
      </c>
      <c r="C31" s="19" t="s">
        <v>19</v>
      </c>
      <c r="D31" s="19" t="s">
        <v>12</v>
      </c>
      <c r="E31" s="19">
        <v>50000</v>
      </c>
      <c r="F31" s="19" t="s">
        <v>243</v>
      </c>
      <c r="G31" s="19" t="s">
        <v>246</v>
      </c>
      <c r="H31" s="19" t="s">
        <v>395</v>
      </c>
    </row>
    <row r="32" spans="1:8" ht="27.6">
      <c r="A32" s="19" t="s">
        <v>283</v>
      </c>
      <c r="B32" s="19">
        <v>93</v>
      </c>
      <c r="C32" s="19" t="s">
        <v>19</v>
      </c>
      <c r="D32" s="19" t="s">
        <v>12</v>
      </c>
      <c r="E32" s="19">
        <v>50000</v>
      </c>
      <c r="F32" s="19" t="s">
        <v>243</v>
      </c>
      <c r="G32" s="19" t="s">
        <v>246</v>
      </c>
      <c r="H32" s="19" t="s">
        <v>395</v>
      </c>
    </row>
    <row r="33" spans="1:8" ht="27.6">
      <c r="A33" s="19" t="s">
        <v>242</v>
      </c>
      <c r="B33" s="19">
        <v>89</v>
      </c>
      <c r="C33" s="19" t="s">
        <v>19</v>
      </c>
      <c r="D33" s="19" t="s">
        <v>12</v>
      </c>
      <c r="E33" s="19">
        <v>30000</v>
      </c>
      <c r="F33" s="19" t="s">
        <v>243</v>
      </c>
      <c r="G33" s="19" t="s">
        <v>246</v>
      </c>
      <c r="H33" s="19" t="s">
        <v>395</v>
      </c>
    </row>
    <row r="34" spans="1:8">
      <c r="A34" t="s">
        <v>366</v>
      </c>
      <c r="B34">
        <v>89</v>
      </c>
      <c r="C34" t="s">
        <v>19</v>
      </c>
      <c r="D34" t="s">
        <v>12</v>
      </c>
      <c r="E34">
        <v>40000</v>
      </c>
      <c r="F34" t="s">
        <v>243</v>
      </c>
      <c r="G34" t="s">
        <v>246</v>
      </c>
      <c r="H34" t="s">
        <v>395</v>
      </c>
    </row>
  </sheetData>
  <mergeCells count="2">
    <mergeCell ref="A1:H1"/>
    <mergeCell ref="A2:H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12</vt:i4>
      </vt:variant>
    </vt:vector>
  </HeadingPairs>
  <TitlesOfParts>
    <vt:vector size="12" baseType="lpstr">
      <vt:lpstr>Dashboard Executivo</vt:lpstr>
      <vt:lpstr>Raizen Piloto LEGACY</vt:lpstr>
      <vt:lpstr>Cotacao Raizen Cheia</vt:lpstr>
      <vt:lpstr>Atuacao Grupo Raizen</vt:lpstr>
      <vt:lpstr>Carteira 2026</vt:lpstr>
      <vt:lpstr>Especificacao Clientes</vt:lpstr>
      <vt:lpstr>Politica ORIZON</vt:lpstr>
      <vt:lpstr>Produtos e Pesos</vt:lpstr>
      <vt:lpstr>Pipeline Mensal</vt:lpstr>
      <vt:lpstr>Parceiros Operacionais</vt:lpstr>
      <vt:lpstr>Acoes por Modelo</vt:lpstr>
      <vt:lpstr>Modelo Pontuacao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Rodolfo Carneiro</cp:lastModifiedBy>
  <dcterms:modified xsi:type="dcterms:W3CDTF">2026-05-29T12:47:38Z</dcterms:modified>
</cp:coreProperties>
</file>