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d5517d9cdc4c25" /></Relationships>
</file>

<file path=xl/workbook.xml><?xml version="1.0" encoding="utf-8"?>
<x:workbook xmlns:x="http://schemas.openxmlformats.org/spreadsheetml/2006/main">
  <x:sheets>
    <x:sheet xmlns:r="http://schemas.openxmlformats.org/officeDocument/2006/relationships" name="Parametros_OPI" sheetId="1" r:id="R645fe35bb79b4de7"/>
    <x:sheet xmlns:r="http://schemas.openxmlformats.org/officeDocument/2006/relationships" name="Regras_Score" sheetId="2" r:id="Rc49d5b44241f4fad"/>
    <x:sheet xmlns:r="http://schemas.openxmlformats.org/officeDocument/2006/relationships" name="Clientes_Orizon_V2" sheetId="3" r:id="Re547694c90ab4ad3"/>
    <x:sheet xmlns:r="http://schemas.openxmlformats.org/officeDocument/2006/relationships" name="Resumo_Dados" sheetId="4" r:id="Rb7ab70f2c17748b5"/>
    <x:sheet xmlns:r="http://schemas.openxmlformats.org/officeDocument/2006/relationships" name="Dashboard_V2" sheetId="5" r:id="Rf537dc8d46474d48"/>
    <x:sheet xmlns:r="http://schemas.openxmlformats.org/officeDocument/2006/relationships" name="Kaizen_Jornada" sheetId="6" r:id="Rb41c33d16abc41c2"/>
    <x:sheet xmlns:r="http://schemas.openxmlformats.org/officeDocument/2006/relationships" name="SaaS_Modelo_Dados" sheetId="7" r:id="R014e17d906d040f5"/>
    <x:sheet xmlns:r="http://schemas.openxmlformats.org/officeDocument/2006/relationships" name="Guia_V2" sheetId="8" r:id="R8ad292f5f491449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
    <x:numFmt numFmtId="202" formatCode="0.0"/>
    <x:numFmt numFmtId="203" formatCode="0"/>
    <x:numFmt numFmtId="204" formatCode="0%"/>
    <x:numFmt numFmtId="205" formatCode="R$ #,##0"/>
  </x:numFmts>
  <x:fonts count="5">
    <x:font>
      <x:sz val="11"/>
      <x:name val="Carlito"/>
    </x:font>
    <x:font>
      <x:b/>
      <x:sz val="18"/>
      <x:color rgb="163020"/>
      <x:name val="Carlito"/>
    </x:font>
    <x:font>
      <x:b/>
      <x:sz val="11"/>
      <x:color rgb="FFFFFF"/>
      <x:name val="Carlito"/>
    </x:font>
    <x:font>
      <x:b/>
      <x:sz val="11"/>
      <x:color rgb="163020"/>
      <x:name val="Carlito"/>
    </x:font>
    <x:font>
      <x:b/>
      <x:sz val="16"/>
      <x:color rgb="163020"/>
      <x:name val="Carlito"/>
    </x:font>
  </x:fonts>
  <x:fills count="6">
    <x:fill>
      <x:patternFill patternType="none"/>
    </x:fill>
    <x:fill>
      <x:patternFill patternType="gray125"/>
    </x:fill>
    <x:fill>
      <x:patternFill patternType="solid">
        <x:fgColor rgb="1F7A3A"/>
      </x:patternFill>
    </x:fill>
    <x:fill>
      <x:patternFill patternType="solid">
        <x:fgColor rgb="163020"/>
      </x:patternFill>
    </x:fill>
    <x:fill>
      <x:patternFill patternType="solid">
        <x:fgColor rgb="E7F5EA"/>
      </x:patternFill>
    </x:fill>
    <x:fill>
      <x:patternFill patternType="solid">
        <x:fgColor rgb="FFFFFF"/>
      </x:patternFill>
    </x:fill>
  </x:fills>
  <x:borders count="2">
    <x:border/>
    <x:border/>
  </x:borders>
  <x:cellStyleXfs count="1">
    <x:xf numFmtId="0" fontId="0" fillId="0" borderId="0"/>
  </x:cellStyleXfs>
  <x:cellXfs count="12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2"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201" fontId="2" fillId="3" borderId="0" xfId="0" applyNumberFormat="1" applyFont="1" applyFill="1" applyBorder="1"/>
    <x:xf numFmtId="201" fontId="2" fillId="3" borderId="1" xfId="0" applyNumberFormat="1" applyFont="1" applyFill="1" applyBorder="1"/>
    <x:xf numFmtId="205" fontId="2" fillId="3" borderId="0" xfId="0" applyNumberFormat="1" applyFont="1" applyFill="1" applyBorder="1"/>
    <x:xf numFmtId="205" fontId="2" fillId="3" borderId="1" xfId="0" applyNumberFormat="1" applyFont="1" applyFill="1" applyBorder="1"/>
    <x:xf numFmtId="202" fontId="2" fillId="3" borderId="0" xfId="0" applyNumberFormat="1" applyFont="1" applyFill="1" applyBorder="1"/>
    <x:xf numFmtId="202" fontId="2" fillId="3" borderId="1" xfId="0" applyNumberFormat="1" applyFont="1" applyFill="1" applyBorder="1"/>
    <x:xf numFmtId="204" fontId="2" fillId="3" borderId="0" xfId="0" applyNumberFormat="1" applyFont="1" applyFill="1" applyBorder="1"/>
    <x:xf numFmtId="204" fontId="2"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x:xf>
    <x:xf numFmtId="0" fontId="3" fillId="5" borderId="1" xfId="0" applyNumberFormat="1" applyFont="1" applyFill="1" applyBorder="1" applyAlignment="1">
      <x:alignment horizontal="center" vertical="center"/>
    </x:xf>
    <x:xf numFmtId="0" fontId="4" fillId="5" borderId="1" xfId="0" applyNumberFormat="1" applyFont="1" applyFill="1" applyBorder="1" applyAlignment="1">
      <x:alignment horizontal="center" vertical="center"/>
    </x:xf>
    <x:xf numFmtId="201" fontId="3" fillId="4" borderId="0" xfId="0" applyNumberFormat="1" applyFont="1" applyFill="1" applyBorder="1" applyAlignment="1">
      <x:alignment horizontal="center" vertical="center"/>
    </x:xf>
    <x:xf numFmtId="201" fontId="3" fillId="4" borderId="1" xfId="0" applyNumberFormat="1" applyFont="1" applyFill="1" applyBorder="1" applyAlignment="1">
      <x:alignment horizontal="center" vertical="center"/>
    </x:xf>
    <x:xf numFmtId="205" fontId="3" fillId="4" borderId="0" xfId="0" applyNumberFormat="1" applyFont="1" applyFill="1" applyBorder="1" applyAlignment="1">
      <x:alignment horizontal="center" vertical="center"/>
    </x:xf>
    <x:xf numFmtId="205" fontId="3" fillId="4" borderId="1" xfId="0" applyNumberFormat="1" applyFont="1" applyFill="1" applyBorder="1" applyAlignment="1">
      <x:alignment horizontal="center" vertical="center"/>
    </x:xf>
    <x:xf numFmtId="202" fontId="3" fillId="4" borderId="0" xfId="0" applyNumberFormat="1" applyFont="1" applyFill="1" applyBorder="1" applyAlignment="1">
      <x:alignment horizontal="center" vertical="center"/>
    </x:xf>
    <x:xf numFmtId="202" fontId="3" fillId="4" borderId="1" xfId="0" applyNumberFormat="1" applyFont="1" applyFill="1" applyBorder="1" applyAlignment="1">
      <x:alignment horizontal="center" vertical="center"/>
    </x:xf>
    <x:xf numFmtId="204" fontId="3" fillId="4" borderId="0" xfId="0" applyNumberFormat="1" applyFont="1" applyFill="1" applyBorder="1" applyAlignment="1">
      <x:alignment horizontal="center" vertical="center"/>
    </x:xf>
    <x:xf numFmtId="204" fontId="3" fillId="4" borderId="1" xfId="0" applyNumberFormat="1" applyFont="1" applyFill="1" applyBorder="1" applyAlignment="1">
      <x:alignment horizontal="center" vertical="center"/>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5" fontId="0" fillId="0" borderId="0" xfId="0" applyNumberFormat="1" applyFont="1" applyFill="1" applyBorder="1" applyAlignment="1">
      <x:alignment wrapText="1"/>
    </x:xf>
    <x:xf numFmtId="205"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4" fontId="0" fillId="0" borderId="0" xfId="0" applyNumberFormat="1" applyFont="1" applyFill="1" applyBorder="1" applyAlignment="1">
      <x:alignment wrapText="1"/>
    </x:xf>
    <x:xf numFmtId="204" fontId="0" fillId="0" borderId="1" xfId="0" applyNumberFormat="1" applyFont="1" applyFill="1" applyBorder="1" applyAlignment="1">
      <x:alignment wrapText="1"/>
    </x:xf>
    <x:xf numFmtId="0" fontId="1" fillId="0" borderId="0" xfId="0" applyNumberFormat="1" applyFont="1" applyFill="1" applyBorder="1" applyAlignment="1">
      <x:alignment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x:xf>
    <x:xf numFmtId="0" fontId="4" fillId="5" borderId="0" xfId="0" applyNumberFormat="1" applyFont="1" applyFill="1" applyBorder="1" applyAlignment="1">
      <x:alignment horizontal="center" vertical="top"/>
    </x:xf>
    <x:xf numFmtId="201" fontId="3" fillId="4" borderId="0" xfId="0" applyNumberFormat="1" applyFont="1" applyFill="1" applyBorder="1" applyAlignment="1">
      <x:alignment horizontal="center" vertical="top"/>
    </x:xf>
    <x:xf numFmtId="205" fontId="3" fillId="4" borderId="0" xfId="0" applyNumberFormat="1" applyFont="1" applyFill="1" applyBorder="1" applyAlignment="1">
      <x:alignment horizontal="center" vertical="top"/>
    </x:xf>
    <x:xf numFmtId="202" fontId="3" fillId="4" borderId="0" xfId="0" applyNumberFormat="1" applyFont="1" applyFill="1" applyBorder="1" applyAlignment="1">
      <x:alignment horizontal="center" vertical="top"/>
    </x:xf>
    <x:xf numFmtId="204" fontId="3" fillId="4"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top" wrapText="1"/>
    </x:xf>
    <x:xf numFmtId="201" fontId="0" fillId="0" borderId="0" xfId="0" applyNumberFormat="1" applyFont="1" applyFill="1" applyBorder="1" applyAlignment="1">
      <x:alignment vertical="top" wrapText="1"/>
    </x:xf>
    <x:xf numFmtId="205"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5" fontId="0"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horizontal="center" vertical="top"/>
    </x:xf>
    <x:xf numFmtId="0" fontId="4" fillId="5" borderId="1" xfId="0" applyNumberFormat="1" applyFont="1" applyFill="1" applyBorder="1" applyAlignment="1">
      <x:alignment horizontal="center" vertical="top"/>
    </x:xf>
    <x:xf numFmtId="201" fontId="3" fillId="4" borderId="1" xfId="0" applyNumberFormat="1" applyFont="1" applyFill="1" applyBorder="1" applyAlignment="1">
      <x:alignment horizontal="center" vertical="top"/>
    </x:xf>
    <x:xf numFmtId="205" fontId="3" fillId="4" borderId="1" xfId="0" applyNumberFormat="1" applyFont="1" applyFill="1" applyBorder="1" applyAlignment="1">
      <x:alignment horizontal="center" vertical="top"/>
    </x:xf>
    <x:xf numFmtId="202" fontId="3" fillId="4" borderId="1" xfId="0" applyNumberFormat="1" applyFont="1" applyFill="1" applyBorder="1" applyAlignment="1">
      <x:alignment horizontal="center" vertical="top"/>
    </x:xf>
    <x:xf numFmtId="204" fontId="3" fillId="4"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201" fontId="0" fillId="0" borderId="1" xfId="0" applyNumberFormat="1" applyFont="1" applyFill="1" applyBorder="1" applyAlignment="1">
      <x:alignment vertical="top" wrapText="1"/>
    </x:xf>
    <x:xf numFmtId="205" fontId="0" fillId="0" borderId="1"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x:xf>
    <x:xf numFmtId="202" fontId="0" fillId="0" borderId="1" xfId="0" applyNumberFormat="1" applyFont="1" applyFill="1" applyBorder="1" applyAlignment="1">
      <x:alignment vertical="top"/>
    </x:xf>
    <x:xf numFmtId="205" fontId="0" fillId="0" borderId="1" xfId="0" applyNumberFormat="1" applyFont="1" applyFill="1" applyBorder="1" applyAlignment="1">
      <x:alignment vertical="top"/>
    </x:xf>
    <x:xf numFmtId="203" fontId="0" fillId="0" borderId="0" xfId="0" applyNumberFormat="1" applyFont="1" applyFill="1" applyBorder="1" applyAlignment="1">
      <x:alignment vertical="top"/>
    </x:xf>
    <x:xf numFmtId="204" fontId="0" fillId="0" borderId="0" xfId="0" applyNumberFormat="1" applyFont="1" applyFill="1" applyBorder="1" applyAlignment="1">
      <x:alignment vertical="top"/>
    </x:xf>
    <x:xf numFmtId="203" fontId="0" fillId="0" borderId="1" xfId="0" applyNumberFormat="1" applyFont="1" applyFill="1" applyBorder="1" applyAlignment="1">
      <x:alignment vertical="top"/>
    </x:xf>
    <x:xf numFmtId="204" fontId="0" fillId="0" borderId="1" xfId="0" applyNumberFormat="1" applyFont="1" applyFill="1" applyBorder="1" applyAlignment="1">
      <x:alignment vertical="top"/>
    </x:xf>
    <x:xf numFmtId="0" fontId="2" fillId="3" borderId="0" xfId="0" applyNumberFormat="1" applyFont="1" applyFill="1" applyBorder="1" applyAlignment="1">
      <x:alignment vertical="top"/>
    </x:xf>
    <x:xf numFmtId="201" fontId="2" fillId="3" borderId="0" xfId="0" applyNumberFormat="1" applyFont="1" applyFill="1" applyBorder="1" applyAlignment="1">
      <x:alignment vertical="top"/>
    </x:xf>
    <x:xf numFmtId="205" fontId="2" fillId="3" borderId="0" xfId="0" applyNumberFormat="1" applyFont="1" applyFill="1" applyBorder="1" applyAlignment="1">
      <x:alignment vertical="top"/>
    </x:xf>
    <x:xf numFmtId="202" fontId="2" fillId="3" borderId="0" xfId="0" applyNumberFormat="1" applyFont="1" applyFill="1" applyBorder="1" applyAlignment="1">
      <x:alignment vertical="top"/>
    </x:xf>
    <x:xf numFmtId="204" fontId="2" fillId="3" borderId="0" xfId="0" applyNumberFormat="1" applyFont="1" applyFill="1" applyBorder="1" applyAlignment="1">
      <x:alignment vertical="top"/>
    </x:xf>
    <x:xf numFmtId="0" fontId="2" fillId="3" borderId="1" xfId="0" applyNumberFormat="1" applyFont="1" applyFill="1" applyBorder="1" applyAlignment="1">
      <x:alignment vertical="top"/>
    </x:xf>
    <x:xf numFmtId="201" fontId="2" fillId="3" borderId="1" xfId="0" applyNumberFormat="1" applyFont="1" applyFill="1" applyBorder="1" applyAlignment="1">
      <x:alignment vertical="top"/>
    </x:xf>
    <x:xf numFmtId="205" fontId="2" fillId="3" borderId="1" xfId="0" applyNumberFormat="1" applyFont="1" applyFill="1" applyBorder="1" applyAlignment="1">
      <x:alignment vertical="top"/>
    </x:xf>
    <x:xf numFmtId="202" fontId="2" fillId="3" borderId="1" xfId="0" applyNumberFormat="1" applyFont="1" applyFill="1" applyBorder="1" applyAlignment="1">
      <x:alignment vertical="top"/>
    </x:xf>
    <x:xf numFmtId="204" fontId="2" fillId="3" borderId="1" xfId="0" applyNumberFormat="1" applyFont="1" applyFill="1" applyBorder="1" applyAlignment="1">
      <x:alignment vertical="top"/>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x:xf>
    <x:xf numFmtId="201" fontId="0" fillId="3" borderId="0" xfId="0" applyNumberFormat="1" applyFont="1" applyFill="1" applyBorder="1" applyAlignment="1">
      <x:alignment vertical="top"/>
    </x:xf>
    <x:xf numFmtId="205" fontId="0" fillId="3" borderId="0" xfId="0" applyNumberFormat="1" applyFont="1" applyFill="1" applyBorder="1" applyAlignment="1">
      <x:alignment vertical="top"/>
    </x:xf>
    <x:xf numFmtId="202" fontId="0" fillId="3" borderId="0" xfId="0" applyNumberFormat="1" applyFont="1" applyFill="1" applyBorder="1" applyAlignment="1">
      <x:alignment vertical="top"/>
    </x:xf>
    <x:xf numFmtId="204" fontId="0" fillId="3" borderId="0" xfId="0" applyNumberFormat="1" applyFont="1" applyFill="1" applyBorder="1" applyAlignment="1">
      <x:alignment vertical="top"/>
    </x:xf>
  </x:cellXfs>
  <x:cellStyles count="1">
    <x:cellStyle name="Normal" xfId="0"/>
  </x:cellStyles>
  <x:dxfs count="5">
    <x:dxf>
      <x:font>
        <x:b/>
        <x:color rgb="FFFFFF"/>
      </x:font>
      <x:fill>
        <x:patternFill patternType="solid">
          <x:bgColor rgb="0F172A"/>
        </x:patternFill>
      </x:fill>
    </x:dxf>
    <x:dxf>
      <x:font>
        <x:b/>
        <x:color rgb="FFFFFF"/>
      </x:font>
      <x:fill>
        <x:patternFill patternType="solid">
          <x:bgColor rgb="C9A227"/>
        </x:patternFill>
      </x:fill>
    </x:dxf>
    <x:dxf>
      <x:font>
        <x:b/>
        <x:color rgb="FFFFFF"/>
      </x:font>
      <x:fill>
        <x:patternFill patternType="solid">
          <x:bgColor rgb="1F7A3A"/>
        </x:patternFill>
      </x:fill>
    </x:dxf>
    <x:dxf>
      <x:font>
        <x:b/>
        <x:color rgb="0F172A"/>
      </x:font>
      <x:fill>
        <x:patternFill patternType="solid">
          <x:bgColor rgb="93C5FD"/>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089d05bccef441f" /><Relationship Type="http://schemas.openxmlformats.org/officeDocument/2006/relationships/theme" Target="/xl/theme/theme1.xml" Id="Rb5847e1f8d324638" /><Relationship Type="http://schemas.openxmlformats.org/officeDocument/2006/relationships/sharedStrings" Target="/xl/sharedStrings.xml" Id="R7a1cc8d82480484a" /><Relationship Type="http://schemas.openxmlformats.org/officeDocument/2006/relationships/worksheet" Target="/xl/worksheets/sheet1.xml" Id="R645fe35bb79b4de7" /><Relationship Type="http://schemas.openxmlformats.org/officeDocument/2006/relationships/worksheet" Target="/xl/worksheets/sheet2.xml" Id="Rc49d5b44241f4fad" /><Relationship Type="http://schemas.openxmlformats.org/officeDocument/2006/relationships/worksheet" Target="/xl/worksheets/sheet3.xml" Id="Re547694c90ab4ad3" /><Relationship Type="http://schemas.openxmlformats.org/officeDocument/2006/relationships/worksheet" Target="/xl/worksheets/sheet4.xml" Id="Rb7ab70f2c17748b5" /><Relationship Type="http://schemas.openxmlformats.org/officeDocument/2006/relationships/worksheet" Target="/xl/worksheets/sheet5.xml" Id="Rf537dc8d46474d48" /><Relationship Type="http://schemas.openxmlformats.org/officeDocument/2006/relationships/worksheet" Target="/xl/worksheets/sheet6.xml" Id="Rb41c33d16abc41c2" /><Relationship Type="http://schemas.openxmlformats.org/officeDocument/2006/relationships/worksheet" Target="/xl/worksheets/sheet7.xml" Id="R014e17d906d040f5" /><Relationship Type="http://schemas.openxmlformats.org/officeDocument/2006/relationships/worksheet" Target="/xl/worksheets/sheet8.xml" Id="R8ad292f5f49144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d36efb02ca634ea0" /><Relationship Type="http://schemas.openxmlformats.org/officeDocument/2006/relationships/chart" Target="/xl/drawings/charts/chart2.xml" Id="R19f18d311f0b4eb6" /><Relationship Type="http://schemas.openxmlformats.org/officeDocument/2006/relationships/chart" Target="/xl/drawings/charts/chart3.xml" Id="R3e92c3d098b44a5a" /><Relationship Type="http://schemas.openxmlformats.org/officeDocument/2006/relationships/chart" Target="/xl/drawings/charts/chart4.xml" Id="R6105350fb60c46bc"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Clientes</c:v>
          </c:tx>
          <c:cat>
            <c:strRef>
              <c:f>'Resumo_Dados'!$A$4:$A$8</c:f>
              <c:strCache>
                <c:ptCount val="0"/>
              </c:strCache>
            </c:strRef>
          </c:cat>
          <c:val>
            <c:numRef>
              <c:f>'Resumo_Dados'!$B$4:$B$8</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varyColors val="0"/>
        <c:ser>
          <c:idx val="0"/>
          <c:order val="0"/>
          <c:tx>
            <c:v>Clientes</c:v>
          </c:tx>
          <c:cat>
            <c:strRef>
              <c:f>'Resumo_Dados'!$A$4:$A$8</c:f>
              <c:strCache>
                <c:ptCount val="0"/>
              </c:strCache>
            </c:strRef>
          </c:cat>
          <c:val>
            <c:numRef>
              <c:f>'Resumo_Dados'!$B$4:$B$8</c:f>
              <c:numCache>
                <c:formatCode/>
                <c:ptCount val="0"/>
              </c:numCache>
            </c:numRef>
          </c:val>
        </c:ser>
        <c:ser>
          <c:idx val="1"/>
          <c:order val="1"/>
          <c:tx>
            <c:v>Área ha</c:v>
          </c:tx>
          <c:cat>
            <c:strRef>
              <c:f>'Resumo_Dados'!$A$4:$A$8</c:f>
              <c:strCache>
                <c:ptCount val="0"/>
              </c:strCache>
            </c:strRef>
          </c:cat>
          <c:val>
            <c:numRef>
              <c:f>'Resumo_Dados'!$C$4:$C$8</c:f>
              <c:numCache>
                <c:formatCode>#,##0</c:formatCode>
                <c:ptCount val="0"/>
              </c:numCache>
            </c:numRef>
          </c:val>
        </c:ser>
        <c:ser>
          <c:idx val="2"/>
          <c:order val="2"/>
          <c:tx>
            <c:v>Potencial Ecossistema R$</c:v>
          </c:tx>
          <c:cat>
            <c:strRef>
              <c:f>'Resumo_Dados'!$A$4:$A$8</c:f>
              <c:strCache>
                <c:ptCount val="0"/>
              </c:strCache>
            </c:strRef>
          </c:cat>
          <c:val>
            <c:numRef>
              <c:f>'Resumo_Dados'!$D$4:$D$8</c:f>
              <c:numCache>
                <c:formatCode>R$ #,##0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barChart>
        <c:barDir val="col"/>
        <c:varyColors val="0"/>
        <c:ser>
          <c:idx val="0"/>
          <c:order val="0"/>
          <c:tx>
            <c:v>Clientes mapeados</c:v>
          </c:tx>
          <c:cat>
            <c:strRef>
              <c:f>'Resumo_Dados'!$R$4:$R$13</c:f>
              <c:strCache>
                <c:ptCount val="0"/>
              </c:strCache>
            </c:strRef>
          </c:cat>
          <c:val>
            <c:numRef>
              <c:f>'Resumo_Dados'!$S$4:$S$13</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barChart>
        <c:barDir val="col"/>
        <c:varyColors val="0"/>
        <c:ser>
          <c:idx val="0"/>
          <c:order val="0"/>
          <c:tx>
            <c:v>Área ha</c:v>
          </c:tx>
          <c:cat>
            <c:strRef>
              <c:f>'Resumo_Dados'!$J$4:$J$18</c:f>
              <c:strCache>
                <c:ptCount val="0"/>
              </c:strCache>
            </c:strRef>
          </c:cat>
          <c:val>
            <c:numRef>
              <c:f>'Resumo_Dados'!$K$4:$K$18</c:f>
              <c:numCache>
                <c:formatCode>#,##0</c:formatCode>
                <c:ptCount val="0"/>
              </c:numCache>
            </c:numRef>
          </c:val>
        </c:ser>
        <c:ser>
          <c:idx val="1"/>
          <c:order val="1"/>
          <c:tx>
            <c:v>OPI</c:v>
          </c:tx>
          <c:cat>
            <c:strRef>
              <c:f>'Resumo_Dados'!$J$4:$J$18</c:f>
              <c:strCache>
                <c:ptCount val="0"/>
              </c:strCache>
            </c:strRef>
          </c:cat>
          <c:val>
            <c:numRef>
              <c:f>'Resumo_Dados'!$L$4:$L$18</c:f>
              <c:numCache>
                <c:formatCode/>
                <c:ptCount val="0"/>
              </c:numCache>
            </c:numRef>
          </c:val>
        </c:ser>
        <c:ser>
          <c:idx val="2"/>
          <c:order val="2"/>
          <c:tx>
            <c:v>Categoria</c:v>
          </c:tx>
          <c:cat>
            <c:strRef>
              <c:f>'Resumo_Dados'!$J$4:$J$18</c:f>
              <c:strCache>
                <c:ptCount val="0"/>
              </c:strCache>
            </c:strRef>
          </c:cat>
          <c:val>
            <c:numRef>
              <c:f>'Resumo_Dados'!$M$4:$M$18</c:f>
              <c:numCache>
                <c:formatCode>0.0</c:formatCode>
                <c:ptCount val="0"/>
              </c:numCache>
            </c:numRef>
          </c:val>
        </c:ser>
        <c:ser>
          <c:idx val="3"/>
          <c:order val="3"/>
          <c:tx>
            <c:v>Prob.</c:v>
          </c:tx>
          <c:cat>
            <c:strRef>
              <c:f>'Resumo_Dados'!$J$4:$J$18</c:f>
              <c:strCache>
                <c:ptCount val="0"/>
              </c:strCache>
            </c:strRef>
          </c:cat>
          <c:val>
            <c:numRef>
              <c:f>'Resumo_Dados'!$N$4:$N$18</c:f>
              <c:numCache>
                <c:formatCode>0%</c:formatCode>
                <c:ptCount val="0"/>
              </c:numCache>
            </c:numRef>
          </c:val>
        </c:ser>
        <c:ser>
          <c:idx val="4"/>
          <c:order val="4"/>
          <c:tx>
            <c:v>Potencial Ecossistema R$</c:v>
          </c:tx>
          <c:cat>
            <c:strRef>
              <c:f>'Resumo_Dados'!$J$4:$J$18</c:f>
              <c:strCache>
                <c:ptCount val="0"/>
              </c:strCache>
            </c:strRef>
          </c:cat>
          <c:val>
            <c:numRef>
              <c:f>'Resumo_Dados'!$O$4:$O$18</c:f>
              <c:numCache>
                <c:formatCode>R$ #,##0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6</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6efb02ca634ea0"/>
        </a:graphicData>
      </a:graphic>
    </xdr:graphicFrame>
    <xdr:clientData/>
  </xdr:twoCellAnchor>
  <xdr:twoCellAnchor>
    <xdr:from>
      <xdr:col>6</xdr:col>
      <xdr:colOff>0</xdr:colOff>
      <xdr:row>15</xdr:row>
      <xdr:rowOff>0</xdr:rowOff>
    </xdr:from>
    <xdr:to>
      <xdr:col>14</xdr:col>
      <xdr:colOff>0</xdr:colOff>
      <xdr:row>32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f18d311f0b4eb6"/>
        </a:graphicData>
      </a:graphic>
    </xdr:graphicFrame>
    <xdr:clientData/>
  </xdr:twoCellAnchor>
  <xdr:twoCellAnchor>
    <xdr:from>
      <xdr:col>0</xdr:col>
      <xdr:colOff>0</xdr:colOff>
      <xdr:row>33</xdr:row>
      <xdr:rowOff>0</xdr:rowOff>
    </xdr:from>
    <xdr:to>
      <xdr:col>6</xdr:col>
      <xdr:colOff>0</xdr:colOff>
      <xdr:row>50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92c3d098b44a5a"/>
        </a:graphicData>
      </a:graphic>
    </xdr:graphicFrame>
    <xdr:clientData/>
  </xdr:twoCellAnchor>
  <xdr:twoCellAnchor>
    <xdr:from>
      <xdr:col>6</xdr:col>
      <xdr:colOff>0</xdr:colOff>
      <xdr:row>33</xdr:row>
      <xdr:rowOff>0</xdr:rowOff>
    </xdr:from>
    <xdr:to>
      <xdr:col>14</xdr:col>
      <xdr:colOff>0</xdr:colOff>
      <xdr:row>50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105350fb60c46bc"/>
        </a:graphicData>
      </a:graphic>
    </xdr:graphicFrame>
    <xdr:clientData/>
  </xdr:twoCellAnchor>
</xdr:wsDr>
</file>

<file path=xl/tables/table1.xml><?xml version="1.0" encoding="utf-8"?>
<x:table xmlns:x="http://schemas.openxmlformats.org/spreadsheetml/2006/main" id="1" name="ParametrosOPITable" displayName="ParametrosOPITable" ref="A3:H17" headerRowCount="1">
  <x:tableColumns count="8">
    <x:tableColumn id="1" name="Parâmetro"/>
    <x:tableColumn id="2" name="Valor"/>
    <x:tableColumn id="3" name="Descrição"/>
    <x:tableColumn id="4" name="Column4"/>
    <x:tableColumn id="5" name="Categoria"/>
    <x:tableColumn id="6" name="Limite inferior OPI"/>
    <x:tableColumn id="7" name="Multiplicador crédito"/>
    <x:tableColumn id="8" name="Descrição"/>
  </x:tableColumns>
  <x:tableStyleInfo name="TableStyleMedium2" showRowStripes="1"/>
</x:table>
</file>

<file path=xl/tables/table2.xml><?xml version="1.0" encoding="utf-8"?>
<x:table xmlns:x="http://schemas.openxmlformats.org/spreadsheetml/2006/main" id="2" name="RegrasScoreTable" displayName="RegrasScoreTable" ref="A3:F19" headerRowCount="1">
  <x:tableColumns count="6">
    <x:tableColumn id="1" name="Bloco"/>
    <x:tableColumn id="2" name="Critério"/>
    <x:tableColumn id="3" name="Faixa/Condição"/>
    <x:tableColumn id="4" name="Nota"/>
    <x:tableColumn id="5" name="Uso no sistema"/>
    <x:tableColumn id="6" name="Observação"/>
  </x:tableColumns>
  <x:tableStyleInfo name="TableStyleMedium2" showRowStripes="1"/>
</x:table>
</file>

<file path=xl/tables/table3.xml><?xml version="1.0" encoding="utf-8"?>
<x:table xmlns:x="http://schemas.openxmlformats.org/spreadsheetml/2006/main" id="3" name="ClientesOrizonV2Table" displayName="ClientesOrizonV2Table" ref="A1:AC45" headerRowCount="1">
  <x:tableColumns count="29">
    <x:tableColumn id="1" name="Cliente"/>
    <x:tableColumn id="2" name="Area_ha"/>
    <x:tableColumn id="3" name="Cana_planta_ha"/>
    <x:tableColumn id="4" name="Cana_soca_ha"/>
    <x:tableColumn id="5" name="Prioridade_original"/>
    <x:tableColumn id="6" name="Situacao_atual"/>
    <x:tableColumn id="7" name="Acao_proposta"/>
    <x:tableColumn id="8" name="Score_Area"/>
    <x:tableColumn id="9" name="Score_Validacao"/>
    <x:tableColumn id="10" name="Score_Abertura"/>
    <x:tableColumn id="11" name="Score_Portfolio"/>
    <x:tableColumn id="12" name="Score_Influencia"/>
    <x:tableColumn id="13" name="OPI"/>
    <x:tableColumn id="14" name="Categoria_Orizon"/>
    <x:tableColumn id="15" name="Tipo_Estrategico"/>
    <x:tableColumn id="16" name="Kaizen_Stage"/>
    <x:tableColumn id="17" name="Score_Kaizen"/>
    <x:tableColumn id="18" name="ICP"/>
    <x:tableColumn id="19" name="Prob_Conversao"/>
    <x:tableColumn id="20" name="Pot_Biologicos_Bruto_R$"/>
    <x:tableColumn id="21" name="Pot_Biologicos_Convertivel_R$"/>
    <x:tableColumn id="22" name="Creditos_Potenciais"/>
    <x:tableColumn id="23" name="Pot_TCH_R$"/>
    <x:tableColumn id="24" name="Pot_Consultoria_R$"/>
    <x:tableColumn id="25" name="Pot_Total_Ecossistema_R$"/>
    <x:tableColumn id="26" name="Prioridade_Estrategica"/>
    <x:tableColumn id="27" name="Produtos_mapeados"/>
    <x:tableColumn id="28" name="Flag_Dados"/>
    <x:tableColumn id="29" name="Proximo_Movimento"/>
  </x:tableColumns>
  <x:tableStyleInfo name="TableStyleMedium2" showRowStripes="1"/>
</x:table>
</file>

<file path=xl/tables/table4.xml><?xml version="1.0" encoding="utf-8"?>
<x:table xmlns:x="http://schemas.openxmlformats.org/spreadsheetml/2006/main" id="4" name="ResumoCategoriasTable" displayName="ResumoCategoriasTable" ref="A3:H10" headerRowCount="1">
  <x:tableColumns count="8">
    <x:tableColumn id="1" name="Categoria"/>
    <x:tableColumn id="2" name="Clientes"/>
    <x:tableColumn id="3" name="Área ha"/>
    <x:tableColumn id="4" name="Potencial Ecossistema R$"/>
    <x:tableColumn id="5" name="Créditos potenciais"/>
    <x:tableColumn id="6" name="OPI médio"/>
    <x:tableColumn id="7" name="Prob. média"/>
    <x:tableColumn id="8" name="% Carteira"/>
  </x:tableColumns>
  <x:tableStyleInfo name="TableStyleMedium2" showRowStripes="1"/>
</x:table>
</file>

<file path=xl/tables/table5.xml><?xml version="1.0" encoding="utf-8"?>
<x:table xmlns:x="http://schemas.openxmlformats.org/spreadsheetml/2006/main" id="5" name="TopClientesTable" displayName="TopClientesTable" ref="J3:P18" headerRowCount="1">
  <x:tableColumns count="7">
    <x:tableColumn id="1" name="Top Cliente"/>
    <x:tableColumn id="2" name="Área ha"/>
    <x:tableColumn id="3" name="OPI"/>
    <x:tableColumn id="4" name="Categoria"/>
    <x:tableColumn id="5" name="Prob."/>
    <x:tableColumn id="6" name="Potencial Ecossistema R$"/>
    <x:tableColumn id="7" name="Produtos"/>
  </x:tableColumns>
  <x:tableStyleInfo name="TableStyleMedium2" showRowStripes="1"/>
</x:table>
</file>

<file path=xl/tables/table6.xml><?xml version="1.0" encoding="utf-8"?>
<x:table xmlns:x="http://schemas.openxmlformats.org/spreadsheetml/2006/main" id="6" name="ProdutosMapeadosTable" displayName="ProdutosMapeadosTable" ref="R3:S13" headerRowCount="1">
  <x:tableColumns count="2">
    <x:tableColumn id="1" name="Produto/Frente"/>
    <x:tableColumn id="2" name="Clientes mapeados"/>
  </x:tableColumns>
  <x:tableStyleInfo name="TableStyleMedium2" showRowStripes="1"/>
</x:table>
</file>

<file path=xl/tables/table7.xml><?xml version="1.0" encoding="utf-8"?>
<x:table xmlns:x="http://schemas.openxmlformats.org/spreadsheetml/2006/main" id="7" name="KaizenJornadaTable" displayName="KaizenJornadaTable" ref="A3:H9" headerRowCount="1">
  <x:tableColumns count="8">
    <x:tableColumn id="1" name="Stage"/>
    <x:tableColumn id="2" name="Nome"/>
    <x:tableColumn id="3" name="Pontuação mínima"/>
    <x:tableColumn id="4" name="Entrega obrigatória"/>
    <x:tableColumn id="5" name="Evidência"/>
    <x:tableColumn id="6" name="Créditos sugeridos"/>
    <x:tableColumn id="7" name="Responsável"/>
    <x:tableColumn id="8" name="Objetivo executivo"/>
  </x:tableColumns>
  <x:tableStyleInfo name="TableStyleMedium2" showRowStripes="1"/>
</x:table>
</file>

<file path=xl/tables/table8.xml><?xml version="1.0" encoding="utf-8"?>
<x:table xmlns:x="http://schemas.openxmlformats.org/spreadsheetml/2006/main" id="8" name="SaaSModelTable" displayName="SaaSModelTable" ref="A3:F18" headerRowCount="1">
  <x:tableColumns count="6">
    <x:tableColumn id="1" name="Entidade"/>
    <x:tableColumn id="2" name="Campo"/>
    <x:tableColumn id="3" name="Tipo sugerido"/>
    <x:tableColumn id="4" name="Origem"/>
    <x:tableColumn id="5" name="Regra/Descrição"/>
    <x:tableColumn id="6" name="Obrigatório"/>
  </x:tableColumns>
  <x:tableStyleInfo name="TableStyleMedium2" showRowStripes="1"/>
</x:table>
</file>

<file path=xl/tables/table9.xml><?xml version="1.0" encoding="utf-8"?>
<x:table xmlns:x="http://schemas.openxmlformats.org/spreadsheetml/2006/main" id="9" name="GuiaV2Table" displayName="GuiaV2Table" ref="A3:D8" headerRowCount="1">
  <x:tableColumns count="4">
    <x:tableColumn id="1" name="Passo"/>
    <x:tableColumn id="2" name="Aba"/>
    <x:tableColumn id="3" name="O que fazer"/>
    <x:tableColumn id="4" name="Resultado esperad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87253a7613946bd" /></Relationships>
</file>

<file path=xl/worksheets/_rels/sheet2.xml.rels>&#65279;<?xml version="1.0" encoding="utf-8"?><Relationships xmlns="http://schemas.openxmlformats.org/package/2006/relationships"><Relationship Type="http://schemas.openxmlformats.org/officeDocument/2006/relationships/table" Target="/xl/tables/table2.xml" Id="Ra67903e27dad489f" /></Relationships>
</file>

<file path=xl/worksheets/_rels/sheet3.xml.rels>&#65279;<?xml version="1.0" encoding="utf-8"?><Relationships xmlns="http://schemas.openxmlformats.org/package/2006/relationships"><Relationship Type="http://schemas.openxmlformats.org/officeDocument/2006/relationships/table" Target="/xl/tables/table3.xml" Id="Rd534c4d787794d75" /></Relationships>
</file>

<file path=xl/worksheets/_rels/sheet4.xml.rels>&#65279;<?xml version="1.0" encoding="utf-8"?><Relationships xmlns="http://schemas.openxmlformats.org/package/2006/relationships"><Relationship Type="http://schemas.openxmlformats.org/officeDocument/2006/relationships/table" Target="/xl/tables/table4.xml" Id="Rea48e01610874107" /><Relationship Type="http://schemas.openxmlformats.org/officeDocument/2006/relationships/table" Target="/xl/tables/table5.xml" Id="Rcb9be4648bc94d53" /><Relationship Type="http://schemas.openxmlformats.org/officeDocument/2006/relationships/table" Target="/xl/tables/table6.xml" Id="Rbd95742ea44c456b" /></Relationships>
</file>

<file path=xl/worksheets/_rels/sheet5.xml.rels>&#65279;<?xml version="1.0" encoding="utf-8"?><Relationships xmlns="http://schemas.openxmlformats.org/package/2006/relationships"><Relationship Type="http://schemas.openxmlformats.org/officeDocument/2006/relationships/drawing" Target="/xl/drawings/drawing1.xml" Id="Rb905bf1c58aa413b" /></Relationships>
</file>

<file path=xl/worksheets/_rels/sheet6.xml.rels>&#65279;<?xml version="1.0" encoding="utf-8"?><Relationships xmlns="http://schemas.openxmlformats.org/package/2006/relationships"><Relationship Type="http://schemas.openxmlformats.org/officeDocument/2006/relationships/table" Target="/xl/tables/table7.xml" Id="R39cb42d1aa484a4c" /></Relationships>
</file>

<file path=xl/worksheets/_rels/sheet7.xml.rels>&#65279;<?xml version="1.0" encoding="utf-8"?><Relationships xmlns="http://schemas.openxmlformats.org/package/2006/relationships"><Relationship Type="http://schemas.openxmlformats.org/officeDocument/2006/relationships/table" Target="/xl/tables/table8.xml" Id="R7a68bb4cf3034905" /></Relationships>
</file>

<file path=xl/worksheets/_rels/sheet8.xml.rels>&#65279;<?xml version="1.0" encoding="utf-8"?><Relationships xmlns="http://schemas.openxmlformats.org/package/2006/relationships"><Relationship Type="http://schemas.openxmlformats.org/officeDocument/2006/relationships/table" Target="/xl/tables/table9.xml" Id="R800a46d61f5749d4"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40" hidden="0" customWidth="1"/>
    <x:col min="4" max="4" width="18" hidden="0" customWidth="1"/>
    <x:col min="5" max="5" width="18" hidden="0" customWidth="1"/>
    <x:col min="6" max="6" width="18" hidden="0" customWidth="1"/>
    <x:col min="7" max="7" width="18" hidden="0" customWidth="1"/>
    <x:col min="8" max="8" width="36" hidden="0" customWidth="1"/>
  </x:cols>
  <x:sheetData>
    <x:row r="1">
      <x:c r="A1" s="68" t="str">
        <x:v>ORIZON 2.0 — Parâmetros do Modelo Matemático</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7" t="str">
        <x:v>Parâmetro</x:v>
      </x:c>
      <x:c r="B3" s="77" t="str">
        <x:v>Valor</x:v>
      </x:c>
      <x:c r="C3" s="77" t="str">
        <x:v>Descrição</x:v>
      </x:c>
      <x:c r="D3" s="77" t="str"/>
      <x:c r="E3" s="77" t="str">
        <x:v>Categoria</x:v>
      </x:c>
      <x:c r="F3" s="77" t="str">
        <x:v>Limite inferior OPI</x:v>
      </x:c>
      <x:c r="G3" s="77" t="str">
        <x:v>Multiplicador crédito</x:v>
      </x:c>
      <x:c r="H3" s="77" t="str">
        <x:v>Descrição</x:v>
      </x:c>
      <x:c r="I3" s="69"/>
      <x:c r="J3" s="69"/>
      <x:c r="K3" s="69"/>
      <x:c r="L3" s="69"/>
      <x:c r="M3" s="69"/>
      <x:c r="N3" s="69"/>
      <x:c r="O3" s="69"/>
      <x:c r="P3" s="69"/>
      <x:c r="Q3" s="69"/>
      <x:c r="R3" s="69"/>
      <x:c r="S3" s="69"/>
      <x:c r="T3" s="69"/>
      <x:c r="U3" s="69"/>
      <x:c r="V3" s="69"/>
      <x:c r="W3" s="69"/>
      <x:c r="X3" s="69"/>
      <x:c r="Y3" s="69"/>
      <x:c r="Z3" s="69"/>
      <x:c r="AA3" s="69"/>
      <x:c r="AB3" s="69"/>
      <x:c r="AC3" s="69"/>
    </x:row>
    <x:row r="4">
      <x:c r="A4" s="70" t="str">
        <x:v>Peso Área</x:v>
      </x:c>
      <x:c r="B4" s="116" t="n">
        <x:v>0.3</x:v>
      </x:c>
      <x:c r="C4" s="70" t="str">
        <x:v>Peso da escala agrícola no OPI</x:v>
      </x:c>
      <x:c r="D4" s="70" t="str"/>
      <x:c r="E4" s="70" t="str">
        <x:v>Foundation</x:v>
      </x:c>
      <x:c r="F4" s="116" t="n">
        <x:v>0</x:v>
      </x:c>
      <x:c r="G4" s="116" t="n">
        <x:v>1</x:v>
      </x:c>
      <x:c r="H4" s="70" t="str">
        <x:v>Áreas em estruturação operacional</x:v>
      </x:c>
      <x:c r="I4" s="69"/>
      <x:c r="J4" s="69"/>
      <x:c r="K4" s="69"/>
      <x:c r="L4" s="69"/>
      <x:c r="M4" s="69"/>
      <x:c r="N4" s="69"/>
      <x:c r="O4" s="69"/>
      <x:c r="P4" s="69"/>
      <x:c r="Q4" s="69"/>
      <x:c r="R4" s="69"/>
      <x:c r="S4" s="69"/>
      <x:c r="T4" s="69"/>
      <x:c r="U4" s="69"/>
      <x:c r="V4" s="69"/>
      <x:c r="W4" s="69"/>
      <x:c r="X4" s="69"/>
      <x:c r="Y4" s="69"/>
      <x:c r="Z4" s="69"/>
      <x:c r="AA4" s="69"/>
      <x:c r="AB4" s="69"/>
      <x:c r="AC4" s="69"/>
    </x:row>
    <x:row r="5">
      <x:c r="A5" s="70" t="str">
        <x:v>Peso Validação</x:v>
      </x:c>
      <x:c r="B5" s="116" t="n">
        <x:v>0.25</x:v>
      </x:c>
      <x:c r="C5" s="70" t="str">
        <x:v>Peso de resultados, protocolos e histórico técnico</x:v>
      </x:c>
      <x:c r="D5" s="70" t="str"/>
      <x:c r="E5" s="70" t="str">
        <x:v>Flow</x:v>
      </x:c>
      <x:c r="F5" s="116" t="n">
        <x:v>50</x:v>
      </x:c>
      <x:c r="G5" s="116" t="n">
        <x:v>1.2</x:v>
      </x:c>
      <x:c r="H5" s="70" t="str">
        <x:v>Áreas em evolução contínua</x:v>
      </x:c>
      <x:c r="I5" s="69"/>
      <x:c r="J5" s="69"/>
      <x:c r="K5" s="69"/>
      <x:c r="L5" s="69"/>
      <x:c r="M5" s="69"/>
      <x:c r="N5" s="69"/>
      <x:c r="O5" s="69"/>
      <x:c r="P5" s="69"/>
      <x:c r="Q5" s="69"/>
      <x:c r="R5" s="69"/>
      <x:c r="S5" s="69"/>
      <x:c r="T5" s="69"/>
      <x:c r="U5" s="69"/>
      <x:c r="V5" s="69"/>
      <x:c r="W5" s="69"/>
      <x:c r="X5" s="69"/>
      <x:c r="Y5" s="69"/>
      <x:c r="Z5" s="69"/>
      <x:c r="AA5" s="69"/>
      <x:c r="AB5" s="69"/>
      <x:c r="AC5" s="69"/>
    </x:row>
    <x:row r="6">
      <x:c r="A6" s="70" t="str">
        <x:v>Peso Abertura</x:v>
      </x:c>
      <x:c r="B6" s="116" t="n">
        <x:v>0.2</x:v>
      </x:c>
      <x:c r="C6" s="70" t="str">
        <x:v>Peso do acesso comercial e engajamento do cliente</x:v>
      </x:c>
      <x:c r="D6" s="70" t="str"/>
      <x:c r="E6" s="70" t="str">
        <x:v>Prime</x:v>
      </x:c>
      <x:c r="F6" s="116" t="n">
        <x:v>70</x:v>
      </x:c>
      <x:c r="G6" s="116" t="n">
        <x:v>1.5</x:v>
      </x:c>
      <x:c r="H6" s="70" t="str">
        <x:v>Áreas de alta performance operacional</x:v>
      </x:c>
      <x:c r="I6" s="69"/>
      <x:c r="J6" s="69"/>
      <x:c r="K6" s="69"/>
      <x:c r="L6" s="69"/>
      <x:c r="M6" s="69"/>
      <x:c r="N6" s="69"/>
      <x:c r="O6" s="69"/>
      <x:c r="P6" s="69"/>
      <x:c r="Q6" s="69"/>
      <x:c r="R6" s="69"/>
      <x:c r="S6" s="69"/>
      <x:c r="T6" s="69"/>
      <x:c r="U6" s="69"/>
      <x:c r="V6" s="69"/>
      <x:c r="W6" s="69"/>
      <x:c r="X6" s="69"/>
      <x:c r="Y6" s="69"/>
      <x:c r="Z6" s="69"/>
      <x:c r="AA6" s="69"/>
      <x:c r="AB6" s="69"/>
      <x:c r="AC6" s="69"/>
    </x:row>
    <x:row r="7">
      <x:c r="A7" s="70" t="str">
        <x:v>Peso Portfólio</x:v>
      </x:c>
      <x:c r="B7" s="116" t="n">
        <x:v>0.15</x:v>
      </x:c>
      <x:c r="C7" s="70" t="str">
        <x:v>Peso da amplitude de produtos e frentes possíveis</x:v>
      </x:c>
      <x:c r="D7" s="70" t="str"/>
      <x:c r="E7" s="70" t="str">
        <x:v>Legacy</x:v>
      </x:c>
      <x:c r="F7" s="116" t="n">
        <x:v>90</x:v>
      </x:c>
      <x:c r="G7" s="116" t="n">
        <x:v>2</x:v>
      </x:c>
      <x:c r="H7" s="70" t="str">
        <x:v>Operações estratégicas Orizon</x:v>
      </x:c>
      <x:c r="I7" s="69"/>
      <x:c r="J7" s="69"/>
      <x:c r="K7" s="69"/>
      <x:c r="L7" s="69"/>
      <x:c r="M7" s="69"/>
      <x:c r="N7" s="69"/>
      <x:c r="O7" s="69"/>
      <x:c r="P7" s="69"/>
      <x:c r="Q7" s="69"/>
      <x:c r="R7" s="69"/>
      <x:c r="S7" s="69"/>
      <x:c r="T7" s="69"/>
      <x:c r="U7" s="69"/>
      <x:c r="V7" s="69"/>
      <x:c r="W7" s="69"/>
      <x:c r="X7" s="69"/>
      <x:c r="Y7" s="69"/>
      <x:c r="Z7" s="69"/>
      <x:c r="AA7" s="69"/>
      <x:c r="AB7" s="69"/>
      <x:c r="AC7" s="69"/>
    </x:row>
    <x:row r="8">
      <x:c r="A8" s="70" t="str">
        <x:v>Peso Influência</x:v>
      </x:c>
      <x:c r="B8" s="116" t="n">
        <x:v>0.1</x:v>
      </x:c>
      <x:c r="C8" s="70" t="str">
        <x:v>Peso de influência regional/nacional e capacidade âncora</x:v>
      </x:c>
      <x:c r="D8" s="70" t="str"/>
      <x:c r="E8" s="70" t="str">
        <x:v>Legacy Anchor</x:v>
      </x:c>
      <x:c r="F8" s="116" t="n">
        <x:v>95</x:v>
      </x:c>
      <x:c r="G8" s="116" t="n">
        <x:v>2.5</x:v>
      </x:c>
      <x:c r="H8" s="70" t="str">
        <x:v>Cliente âncora para validação e expansão do ecossistema</x:v>
      </x:c>
      <x:c r="I8" s="69"/>
      <x:c r="J8" s="69"/>
      <x:c r="K8" s="69"/>
      <x:c r="L8" s="69"/>
      <x:c r="M8" s="69"/>
      <x:c r="N8" s="69"/>
      <x:c r="O8" s="69"/>
      <x:c r="P8" s="69"/>
      <x:c r="Q8" s="69"/>
      <x:c r="R8" s="69"/>
      <x:c r="S8" s="69"/>
      <x:c r="T8" s="69"/>
      <x:c r="U8" s="69"/>
      <x:c r="V8" s="69"/>
      <x:c r="W8" s="69"/>
      <x:c r="X8" s="69"/>
      <x:c r="Y8" s="69"/>
      <x:c r="Z8" s="69"/>
      <x:c r="AA8" s="69"/>
      <x:c r="AB8" s="69"/>
      <x:c r="AC8" s="69"/>
    </x:row>
    <x:row r="9">
      <x:c r="A9" s="70" t="str">
        <x:v>Ticket Plantio R$/ha</x:v>
      </x:c>
      <x:c r="B9" s="116" t="n">
        <x:v>300</x:v>
      </x:c>
      <x:c r="C9" s="70" t="str">
        <x:v>Valor potencial médio de pacote NOOA em cana-planta</x:v>
      </x:c>
      <x:c r="D9" s="70" t="str"/>
      <x:c r="E9" s="70" t="str"/>
      <x:c r="F9" s="70" t="str"/>
      <x:c r="G9" s="70" t="str"/>
      <x:c r="H9" s="70" t="str"/>
      <x:c r="I9" s="69"/>
      <x:c r="J9" s="69"/>
      <x:c r="K9" s="69"/>
      <x:c r="L9" s="69"/>
      <x:c r="M9" s="69"/>
      <x:c r="N9" s="69"/>
      <x:c r="O9" s="69"/>
      <x:c r="P9" s="69"/>
      <x:c r="Q9" s="69"/>
      <x:c r="R9" s="69"/>
      <x:c r="S9" s="69"/>
      <x:c r="T9" s="69"/>
      <x:c r="U9" s="69"/>
      <x:c r="V9" s="69"/>
      <x:c r="W9" s="69"/>
      <x:c r="X9" s="69"/>
      <x:c r="Y9" s="69"/>
      <x:c r="Z9" s="69"/>
      <x:c r="AA9" s="69"/>
      <x:c r="AB9" s="69"/>
      <x:c r="AC9" s="69"/>
    </x:row>
    <x:row r="10">
      <x:c r="A10" s="70" t="str">
        <x:v>Ticket Soqueira R$/ha</x:v>
      </x:c>
      <x:c r="B10" s="116" t="n">
        <x:v>180</x:v>
      </x:c>
      <x:c r="C10" s="70" t="str">
        <x:v>Valor potencial médio de pacote NOOA em soqueira</x:v>
      </x:c>
      <x:c r="D10" s="70" t="str"/>
      <x:c r="E10" s="70" t="str"/>
      <x:c r="F10" s="70" t="str"/>
      <x:c r="G10" s="70" t="str"/>
      <x:c r="H10" s="70" t="str"/>
      <x:c r="I10" s="69"/>
      <x:c r="J10" s="69"/>
      <x:c r="K10" s="69"/>
      <x:c r="L10" s="69"/>
      <x:c r="M10" s="69"/>
      <x:c r="N10" s="69"/>
      <x:c r="O10" s="69"/>
      <x:c r="P10" s="69"/>
      <x:c r="Q10" s="69"/>
      <x:c r="R10" s="69"/>
      <x:c r="S10" s="69"/>
      <x:c r="T10" s="69"/>
      <x:c r="U10" s="69"/>
      <x:c r="V10" s="69"/>
      <x:c r="W10" s="69"/>
      <x:c r="X10" s="69"/>
      <x:c r="Y10" s="69"/>
      <x:c r="Z10" s="69"/>
      <x:c r="AA10" s="69"/>
      <x:c r="AB10" s="69"/>
      <x:c r="AC10" s="69"/>
    </x:row>
    <x:row r="11">
      <x:c r="A11" s="70" t="str">
        <x:v>Ticket TCH R$/ha</x:v>
      </x:c>
      <x:c r="B11" s="116" t="n">
        <x:v>80</x:v>
      </x:c>
      <x:c r="C11" s="70" t="str">
        <x:v>Ticket estimado de serviços/máquinas TCH por hectare elegível</x:v>
      </x:c>
      <x:c r="D11" s="70" t="str"/>
      <x:c r="E11" s="70" t="str"/>
      <x:c r="F11" s="70" t="str"/>
      <x:c r="G11" s="70" t="str"/>
      <x:c r="H11" s="70" t="str"/>
      <x:c r="I11" s="69"/>
      <x:c r="J11" s="69"/>
      <x:c r="K11" s="69"/>
      <x:c r="L11" s="69"/>
      <x:c r="M11" s="69"/>
      <x:c r="N11" s="69"/>
      <x:c r="O11" s="69"/>
      <x:c r="P11" s="69"/>
      <x:c r="Q11" s="69"/>
      <x:c r="R11" s="69"/>
      <x:c r="S11" s="69"/>
      <x:c r="T11" s="69"/>
      <x:c r="U11" s="69"/>
      <x:c r="V11" s="69"/>
      <x:c r="W11" s="69"/>
      <x:c r="X11" s="69"/>
      <x:c r="Y11" s="69"/>
      <x:c r="Z11" s="69"/>
      <x:c r="AA11" s="69"/>
      <x:c r="AB11" s="69"/>
      <x:c r="AC11" s="69"/>
    </x:row>
    <x:row r="12">
      <x:c r="A12" s="70" t="str">
        <x:v>% Área elegível TCH</x:v>
      </x:c>
      <x:c r="B12" s="116" t="n">
        <x:v>0.15</x:v>
      </x:c>
      <x:c r="C12" s="70" t="str">
        <x:v>Percentual inicial de área elegível a braço operacional TCH</x:v>
      </x:c>
      <x:c r="D12" s="70" t="str"/>
      <x:c r="E12" s="70" t="str"/>
      <x:c r="F12" s="70" t="str"/>
      <x:c r="G12" s="70" t="str"/>
      <x:c r="H12" s="70" t="str"/>
      <x:c r="I12" s="69"/>
      <x:c r="J12" s="69"/>
      <x:c r="K12" s="69"/>
      <x:c r="L12" s="69"/>
      <x:c r="M12" s="69"/>
      <x:c r="N12" s="69"/>
      <x:c r="O12" s="69"/>
      <x:c r="P12" s="69"/>
      <x:c r="Q12" s="69"/>
      <x:c r="R12" s="69"/>
      <x:c r="S12" s="69"/>
      <x:c r="T12" s="69"/>
      <x:c r="U12" s="69"/>
      <x:c r="V12" s="69"/>
      <x:c r="W12" s="69"/>
      <x:c r="X12" s="69"/>
      <x:c r="Y12" s="69"/>
      <x:c r="Z12" s="69"/>
      <x:c r="AA12" s="69"/>
      <x:c r="AB12" s="69"/>
      <x:c r="AC12" s="69"/>
    </x:row>
    <x:row r="13">
      <x:c r="A13" s="70" t="str">
        <x:v>Ticket Consultoria R$/ha</x:v>
      </x:c>
      <x:c r="B13" s="116" t="n">
        <x:v>35</x:v>
      </x:c>
      <x:c r="C13" s="70" t="str">
        <x:v>Ticket de diagnóstico, consultoria e acompanhamento por hectare monitorado</x:v>
      </x:c>
      <x:c r="D13" s="70" t="str"/>
      <x:c r="E13" s="70" t="str"/>
      <x:c r="F13" s="70" t="str"/>
      <x:c r="G13" s="70" t="str"/>
      <x:c r="H13" s="70" t="str"/>
      <x:c r="I13" s="69"/>
      <x:c r="J13" s="69"/>
      <x:c r="K13" s="69"/>
      <x:c r="L13" s="69"/>
      <x:c r="M13" s="69"/>
      <x:c r="N13" s="69"/>
      <x:c r="O13" s="69"/>
      <x:c r="P13" s="69"/>
      <x:c r="Q13" s="69"/>
      <x:c r="R13" s="69"/>
      <x:c r="S13" s="69"/>
      <x:c r="T13" s="69"/>
      <x:c r="U13" s="69"/>
      <x:c r="V13" s="69"/>
      <x:c r="W13" s="69"/>
      <x:c r="X13" s="69"/>
      <x:c r="Y13" s="69"/>
      <x:c r="Z13" s="69"/>
      <x:c r="AA13" s="69"/>
      <x:c r="AB13" s="69"/>
      <x:c r="AC13" s="69"/>
    </x:row>
    <x:row r="14">
      <x:c r="A14" s="70" t="str">
        <x:v>% Área monitorada</x:v>
      </x:c>
      <x:c r="B14" s="116" t="n">
        <x:v>0.1</x:v>
      </x:c>
      <x:c r="C14" s="70" t="str">
        <x:v>Percentual inicial de área monitorada no modelo Orizon</x:v>
      </x:c>
      <x:c r="D14" s="70" t="str"/>
      <x:c r="E14" s="70" t="str"/>
      <x:c r="F14" s="70" t="str"/>
      <x:c r="G14" s="70" t="str"/>
      <x:c r="H14" s="70" t="str"/>
      <x:c r="I14" s="69"/>
      <x:c r="J14" s="69"/>
      <x:c r="K14" s="69"/>
      <x:c r="L14" s="69"/>
      <x:c r="M14" s="69"/>
      <x:c r="N14" s="69"/>
      <x:c r="O14" s="69"/>
      <x:c r="P14" s="69"/>
      <x:c r="Q14" s="69"/>
      <x:c r="R14" s="69"/>
      <x:c r="S14" s="69"/>
      <x:c r="T14" s="69"/>
      <x:c r="U14" s="69"/>
      <x:c r="V14" s="69"/>
      <x:c r="W14" s="69"/>
      <x:c r="X14" s="69"/>
      <x:c r="Y14" s="69"/>
      <x:c r="Z14" s="69"/>
      <x:c r="AA14" s="69"/>
      <x:c r="AB14" s="69"/>
      <x:c r="AC14" s="69"/>
    </x:row>
    <x:row r="15">
      <x:c r="A15" s="70" t="str">
        <x:v>Crédito por R$ convertido</x:v>
      </x:c>
      <x:c r="B15" s="116" t="n">
        <x:v>0.01</x:v>
      </x:c>
      <x:c r="C15" s="70" t="str">
        <x:v>1 crédito a cada R$100 de potencial convertido; ajustado pelo multiplicador da categoria</x:v>
      </x:c>
      <x:c r="D15" s="70" t="str"/>
      <x:c r="E15" s="70" t="str"/>
      <x:c r="F15" s="70" t="str"/>
      <x:c r="G15" s="70" t="str"/>
      <x:c r="H15" s="70" t="str"/>
      <x:c r="I15" s="69"/>
      <x:c r="J15" s="69"/>
      <x:c r="K15" s="69"/>
      <x:c r="L15" s="69"/>
      <x:c r="M15" s="69"/>
      <x:c r="N15" s="69"/>
      <x:c r="O15" s="69"/>
      <x:c r="P15" s="69"/>
      <x:c r="Q15" s="69"/>
      <x:c r="R15" s="69"/>
      <x:c r="S15" s="69"/>
      <x:c r="T15" s="69"/>
      <x:c r="U15" s="69"/>
      <x:c r="V15" s="69"/>
      <x:c r="W15" s="69"/>
      <x:c r="X15" s="69"/>
      <x:c r="Y15" s="69"/>
      <x:c r="Z15" s="69"/>
      <x:c r="AA15" s="69"/>
      <x:c r="AB15" s="69"/>
      <x:c r="AC15" s="69"/>
    </x:row>
    <x:row r="16">
      <x:c r="A16" s="70" t="str">
        <x:v>Prob. mín.</x:v>
      </x:c>
      <x:c r="B16" s="116" t="n">
        <x:v>0.1</x:v>
      </x:c>
      <x:c r="C16" s="70" t="str">
        <x:v>Probabilidade mínima de conversão aplicada pelo modelo</x:v>
      </x:c>
      <x:c r="D16" s="70" t="str"/>
      <x:c r="E16" s="70" t="str"/>
      <x:c r="F16" s="70" t="str"/>
      <x:c r="G16" s="70" t="str"/>
      <x:c r="H16" s="70" t="str"/>
      <x:c r="I16" s="69"/>
      <x:c r="J16" s="69"/>
      <x:c r="K16" s="69"/>
      <x:c r="L16" s="69"/>
      <x:c r="M16" s="69"/>
      <x:c r="N16" s="69"/>
      <x:c r="O16" s="69"/>
      <x:c r="P16" s="69"/>
      <x:c r="Q16" s="69"/>
      <x:c r="R16" s="69"/>
      <x:c r="S16" s="69"/>
      <x:c r="T16" s="69"/>
      <x:c r="U16" s="69"/>
      <x:c r="V16" s="69"/>
      <x:c r="W16" s="69"/>
      <x:c r="X16" s="69"/>
      <x:c r="Y16" s="69"/>
      <x:c r="Z16" s="69"/>
      <x:c r="AA16" s="69"/>
      <x:c r="AB16" s="69"/>
      <x:c r="AC16" s="69"/>
    </x:row>
    <x:row r="17">
      <x:c r="A17" s="70" t="str">
        <x:v>Prob. máx.</x:v>
      </x:c>
      <x:c r="B17" s="116" t="n">
        <x:v>0.9</x:v>
      </x:c>
      <x:c r="C17" s="70" t="str">
        <x:v>Probabilidade máxima de conversão aplicada pelo modelo</x:v>
      </x:c>
      <x:c r="D17" s="70" t="str"/>
      <x:c r="E17" s="70" t="str"/>
      <x:c r="F17" s="70" t="str"/>
      <x:c r="G17" s="70" t="str"/>
      <x:c r="H17" s="70" t="str"/>
      <x:c r="I17" s="69"/>
      <x:c r="J17" s="69"/>
      <x:c r="K17" s="69"/>
      <x:c r="L17" s="69"/>
      <x:c r="M17" s="69"/>
      <x:c r="N17" s="69"/>
      <x:c r="O17" s="69"/>
      <x:c r="P17" s="69"/>
      <x:c r="Q17" s="69"/>
      <x:c r="R17" s="69"/>
      <x:c r="S17" s="69"/>
      <x:c r="T17" s="69"/>
      <x:c r="U17" s="69"/>
      <x:c r="V17" s="69"/>
      <x:c r="W17" s="69"/>
      <x:c r="X17" s="69"/>
      <x:c r="Y17" s="69"/>
      <x:c r="Z17" s="69"/>
      <x:c r="AA17" s="69"/>
      <x:c r="AB17" s="69"/>
      <x:c r="AC17" s="69"/>
    </x:row>
    <x:row r="18">
      <x:c r="A18" s="69"/>
      <x:c r="B18" s="69"/>
      <x:c r="C18" s="69"/>
      <x:c r="D18" s="69"/>
      <x:c r="E18" s="69"/>
      <x:c r="F18" s="69"/>
      <x:c r="G18" s="69"/>
      <x:c r="H18" s="69"/>
      <x:c r="I18" s="69"/>
      <x:c r="J18" s="69"/>
      <x:c r="K18" s="69"/>
      <x:c r="L18" s="69"/>
      <x:c r="M18" s="69"/>
      <x:c r="N18" s="69"/>
      <x:c r="O18" s="69"/>
      <x:c r="P18" s="69"/>
      <x:c r="Q18" s="69"/>
      <x:c r="R18" s="69"/>
      <x:c r="S18" s="69"/>
      <x:c r="T18" s="69"/>
      <x:c r="U18" s="69"/>
      <x:c r="V18" s="69"/>
      <x:c r="W18" s="69"/>
      <x:c r="X18" s="69"/>
      <x:c r="Y18" s="69"/>
      <x:c r="Z18" s="69"/>
      <x:c r="AA18" s="69"/>
      <x:c r="AB18" s="69"/>
      <x:c r="AC18" s="69"/>
    </x:row>
    <x:row r="19">
      <x:c r="A19" s="69"/>
      <x:c r="B19" s="69"/>
      <x:c r="C19" s="69"/>
      <x:c r="D19" s="69"/>
      <x:c r="E19" s="69"/>
      <x:c r="F19" s="69"/>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x:c r="B22" s="69"/>
      <x:c r="C22" s="69"/>
      <x:c r="D22" s="69"/>
      <x:c r="E22" s="69"/>
      <x:c r="F22" s="69"/>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H1"/>
  </x:mergeCells>
  <x:pageMargins left="0.7" right="0.7" top="0.75" bottom="0.75" header="0.3" footer="0.3"/>
  <x:tableParts count="1">
    <x:tablePart xmlns:r="http://schemas.openxmlformats.org/officeDocument/2006/relationships" r:id="Ra87253a7613946bd"/>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40" hidden="0" customWidth="1"/>
  </x:cols>
  <x:sheetData>
    <x:row r="1">
      <x:c r="A1" s="68" t="str">
        <x:v>Regras de Pontuação — OPI, Categoria, ICP e Kaizen</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7" t="str">
        <x:v>Bloco</x:v>
      </x:c>
      <x:c r="B3" s="77" t="str">
        <x:v>Critério</x:v>
      </x:c>
      <x:c r="C3" s="77" t="str">
        <x:v>Faixa/Condição</x:v>
      </x:c>
      <x:c r="D3" s="77" t="str">
        <x:v>Nota</x:v>
      </x:c>
      <x:c r="E3" s="77" t="str">
        <x:v>Uso no sistema</x:v>
      </x:c>
      <x:c r="F3" s="77" t="str">
        <x:v>Observação</x:v>
      </x:c>
      <x:c r="G3" s="69"/>
      <x:c r="H3" s="69"/>
      <x:c r="I3" s="69"/>
      <x:c r="J3" s="69"/>
      <x:c r="K3" s="69"/>
      <x:c r="L3" s="69"/>
      <x:c r="M3" s="69"/>
      <x:c r="N3" s="69"/>
      <x:c r="O3" s="69"/>
      <x:c r="P3" s="69"/>
      <x:c r="Q3" s="69"/>
      <x:c r="R3" s="69"/>
      <x:c r="S3" s="69"/>
      <x:c r="T3" s="69"/>
      <x:c r="U3" s="69"/>
      <x:c r="V3" s="69"/>
      <x:c r="W3" s="69"/>
      <x:c r="X3" s="69"/>
      <x:c r="Y3" s="69"/>
      <x:c r="Z3" s="69"/>
      <x:c r="AA3" s="69"/>
      <x:c r="AB3" s="69"/>
      <x:c r="AC3" s="69"/>
    </x:row>
    <x:row r="4">
      <x:c r="A4" s="69" t="str">
        <x:v>Área</x:v>
      </x:c>
      <x:c r="B4" s="69" t="str">
        <x:v>&lt;20.000 ha</x:v>
      </x:c>
      <x:c r="C4" s="69" t="str">
        <x:v>Pequena escala</x:v>
      </x:c>
      <x:c r="D4" s="69" t="n">
        <x:v>20</x:v>
      </x:c>
      <x:c r="E4" s="69" t="str">
        <x:v>Score_Area</x:v>
      </x:c>
      <x:c r="F4" s="69" t="str">
        <x:v>Base para escala comercial</x:v>
      </x:c>
      <x:c r="G4" s="69"/>
      <x:c r="H4" s="69"/>
      <x:c r="I4" s="69"/>
      <x:c r="J4" s="69"/>
      <x:c r="K4" s="69"/>
      <x:c r="L4" s="69"/>
      <x:c r="M4" s="69"/>
      <x:c r="N4" s="69"/>
      <x:c r="O4" s="69"/>
      <x:c r="P4" s="69"/>
      <x:c r="Q4" s="69"/>
      <x:c r="R4" s="69"/>
      <x:c r="S4" s="69"/>
      <x:c r="T4" s="69"/>
      <x:c r="U4" s="69"/>
      <x:c r="V4" s="69"/>
      <x:c r="W4" s="69"/>
      <x:c r="X4" s="69"/>
      <x:c r="Y4" s="69"/>
      <x:c r="Z4" s="69"/>
      <x:c r="AA4" s="69"/>
      <x:c r="AB4" s="69"/>
      <x:c r="AC4" s="69"/>
    </x:row>
    <x:row r="5">
      <x:c r="A5" s="69" t="str">
        <x:v>Área</x:v>
      </x:c>
      <x:c r="B5" s="69" t="str">
        <x:v>20.000–50.000 ha</x:v>
      </x:c>
      <x:c r="C5" s="69" t="str">
        <x:v>Escala baixa/média</x:v>
      </x:c>
      <x:c r="D5" s="69" t="n">
        <x:v>40</x:v>
      </x:c>
      <x:c r="E5" s="69" t="str">
        <x:v>Score_Area</x:v>
      </x:c>
      <x:c r="F5" s="69" t="str"/>
      <x:c r="G5" s="69"/>
      <x:c r="H5" s="69"/>
      <x:c r="I5" s="69"/>
      <x:c r="J5" s="69"/>
      <x:c r="K5" s="69"/>
      <x:c r="L5" s="69"/>
      <x:c r="M5" s="69"/>
      <x:c r="N5" s="69"/>
      <x:c r="O5" s="69"/>
      <x:c r="P5" s="69"/>
      <x:c r="Q5" s="69"/>
      <x:c r="R5" s="69"/>
      <x:c r="S5" s="69"/>
      <x:c r="T5" s="69"/>
      <x:c r="U5" s="69"/>
      <x:c r="V5" s="69"/>
      <x:c r="W5" s="69"/>
      <x:c r="X5" s="69"/>
      <x:c r="Y5" s="69"/>
      <x:c r="Z5" s="69"/>
      <x:c r="AA5" s="69"/>
      <x:c r="AB5" s="69"/>
      <x:c r="AC5" s="69"/>
    </x:row>
    <x:row r="6">
      <x:c r="A6" s="69" t="str">
        <x:v>Área</x:v>
      </x:c>
      <x:c r="B6" s="69" t="str">
        <x:v>50.000–100.000 ha</x:v>
      </x:c>
      <x:c r="C6" s="69" t="str">
        <x:v>Escala média</x:v>
      </x:c>
      <x:c r="D6" s="69" t="n">
        <x:v>60</x:v>
      </x:c>
      <x:c r="E6" s="69" t="str">
        <x:v>Score_Area</x:v>
      </x:c>
      <x:c r="F6" s="69" t="str"/>
      <x:c r="G6" s="69"/>
      <x:c r="H6" s="69"/>
      <x:c r="I6" s="69"/>
      <x:c r="J6" s="69"/>
      <x:c r="K6" s="69"/>
      <x:c r="L6" s="69"/>
      <x:c r="M6" s="69"/>
      <x:c r="N6" s="69"/>
      <x:c r="O6" s="69"/>
      <x:c r="P6" s="69"/>
      <x:c r="Q6" s="69"/>
      <x:c r="R6" s="69"/>
      <x:c r="S6" s="69"/>
      <x:c r="T6" s="69"/>
      <x:c r="U6" s="69"/>
      <x:c r="V6" s="69"/>
      <x:c r="W6" s="69"/>
      <x:c r="X6" s="69"/>
      <x:c r="Y6" s="69"/>
      <x:c r="Z6" s="69"/>
      <x:c r="AA6" s="69"/>
      <x:c r="AB6" s="69"/>
      <x:c r="AC6" s="69"/>
    </x:row>
    <x:row r="7">
      <x:c r="A7" s="69" t="str">
        <x:v>Área</x:v>
      </x:c>
      <x:c r="B7" s="69" t="str">
        <x:v>100.000–200.000 ha</x:v>
      </x:c>
      <x:c r="C7" s="69" t="str">
        <x:v>Alta escala</x:v>
      </x:c>
      <x:c r="D7" s="69" t="n">
        <x:v>80</x:v>
      </x:c>
      <x:c r="E7" s="69" t="str">
        <x:v>Score_Area</x:v>
      </x:c>
      <x:c r="F7" s="69" t="str"/>
      <x:c r="G7" s="69"/>
      <x:c r="H7" s="69"/>
      <x:c r="I7" s="69"/>
      <x:c r="J7" s="69"/>
      <x:c r="K7" s="69"/>
      <x:c r="L7" s="69"/>
      <x:c r="M7" s="69"/>
      <x:c r="N7" s="69"/>
      <x:c r="O7" s="69"/>
      <x:c r="P7" s="69"/>
      <x:c r="Q7" s="69"/>
      <x:c r="R7" s="69"/>
      <x:c r="S7" s="69"/>
      <x:c r="T7" s="69"/>
      <x:c r="U7" s="69"/>
      <x:c r="V7" s="69"/>
      <x:c r="W7" s="69"/>
      <x:c r="X7" s="69"/>
      <x:c r="Y7" s="69"/>
      <x:c r="Z7" s="69"/>
      <x:c r="AA7" s="69"/>
      <x:c r="AB7" s="69"/>
      <x:c r="AC7" s="69"/>
    </x:row>
    <x:row r="8">
      <x:c r="A8" s="69" t="str">
        <x:v>Área</x:v>
      </x:c>
      <x:c r="B8" s="69" t="str">
        <x:v>&gt;=200.000 ha</x:v>
      </x:c>
      <x:c r="C8" s="69" t="str">
        <x:v>Escala estratégica</x:v>
      </x:c>
      <x:c r="D8" s="69" t="n">
        <x:v>100</x:v>
      </x:c>
      <x:c r="E8" s="69" t="str">
        <x:v>Score_Area</x:v>
      </x:c>
      <x:c r="F8" s="69" t="str"/>
      <x:c r="G8" s="69"/>
      <x:c r="H8" s="69"/>
      <x:c r="I8" s="69"/>
      <x:c r="J8" s="69"/>
      <x:c r="K8" s="69"/>
      <x:c r="L8" s="69"/>
      <x:c r="M8" s="69"/>
      <x:c r="N8" s="69"/>
      <x:c r="O8" s="69"/>
      <x:c r="P8" s="69"/>
      <x:c r="Q8" s="69"/>
      <x:c r="R8" s="69"/>
      <x:c r="S8" s="69"/>
      <x:c r="T8" s="69"/>
      <x:c r="U8" s="69"/>
      <x:c r="V8" s="69"/>
      <x:c r="W8" s="69"/>
      <x:c r="X8" s="69"/>
      <x:c r="Y8" s="69"/>
      <x:c r="Z8" s="69"/>
      <x:c r="AA8" s="69"/>
      <x:c r="AB8" s="69"/>
      <x:c r="AC8" s="69"/>
    </x:row>
    <x:row r="9">
      <x:c r="A9" s="69" t="str">
        <x:v>Validação</x:v>
      </x:c>
      <x:c r="B9" s="69" t="str">
        <x:v>Sem protocolo / prospecção</x:v>
      </x:c>
      <x:c r="C9" s="69" t="str">
        <x:v>Pouca evidência</x:v>
      </x:c>
      <x:c r="D9" s="69" t="n">
        <x:v>0</x:v>
      </x:c>
      <x:c r="E9" s="69" t="str">
        <x:v>Score_Validação</x:v>
      </x:c>
      <x:c r="F9" s="69" t="str">
        <x:v>Preenchimento assistido</x:v>
      </x:c>
      <x:c r="G9" s="69"/>
      <x:c r="H9" s="69"/>
      <x:c r="I9" s="69"/>
      <x:c r="J9" s="69"/>
      <x:c r="K9" s="69"/>
      <x:c r="L9" s="69"/>
      <x:c r="M9" s="69"/>
      <x:c r="N9" s="69"/>
      <x:c r="O9" s="69"/>
      <x:c r="P9" s="69"/>
      <x:c r="Q9" s="69"/>
      <x:c r="R9" s="69"/>
      <x:c r="S9" s="69"/>
      <x:c r="T9" s="69"/>
      <x:c r="U9" s="69"/>
      <x:c r="V9" s="69"/>
      <x:c r="W9" s="69"/>
      <x:c r="X9" s="69"/>
      <x:c r="Y9" s="69"/>
      <x:c r="Z9" s="69"/>
      <x:c r="AA9" s="69"/>
      <x:c r="AB9" s="69"/>
      <x:c r="AC9" s="69"/>
    </x:row>
    <x:row r="10">
      <x:c r="A10" s="69" t="str">
        <x:v>Validação</x:v>
      </x:c>
      <x:c r="B10" s="69" t="str">
        <x:v>Campo instalado</x:v>
      </x:c>
      <x:c r="C10" s="69" t="str">
        <x:v>Evidência inicial</x:v>
      </x:c>
      <x:c r="D10" s="69" t="n">
        <x:v>25</x:v>
      </x:c>
      <x:c r="E10" s="69" t="str">
        <x:v>Score_Validação</x:v>
      </x:c>
      <x:c r="F10" s="69" t="str"/>
      <x:c r="G10" s="69"/>
      <x:c r="H10" s="69"/>
      <x:c r="I10" s="69"/>
      <x:c r="J10" s="69"/>
      <x:c r="K10" s="69"/>
      <x:c r="L10" s="69"/>
      <x:c r="M10" s="69"/>
      <x:c r="N10" s="69"/>
      <x:c r="O10" s="69"/>
      <x:c r="P10" s="69"/>
      <x:c r="Q10" s="69"/>
      <x:c r="R10" s="69"/>
      <x:c r="S10" s="69"/>
      <x:c r="T10" s="69"/>
      <x:c r="U10" s="69"/>
      <x:c r="V10" s="69"/>
      <x:c r="W10" s="69"/>
      <x:c r="X10" s="69"/>
      <x:c r="Y10" s="69"/>
      <x:c r="Z10" s="69"/>
      <x:c r="AA10" s="69"/>
      <x:c r="AB10" s="69"/>
      <x:c r="AC10" s="69"/>
    </x:row>
    <x:row r="11">
      <x:c r="A11" s="69" t="str">
        <x:v>Validação</x:v>
      </x:c>
      <x:c r="B11" s="69" t="str">
        <x:v>Resultado parcial</x:v>
      </x:c>
      <x:c r="C11" s="69" t="str">
        <x:v>Evidência intermediária</x:v>
      </x:c>
      <x:c r="D11" s="69" t="n">
        <x:v>50</x:v>
      </x:c>
      <x:c r="E11" s="69" t="str">
        <x:v>Score_Validação</x:v>
      </x:c>
      <x:c r="F11" s="69" t="str"/>
      <x:c r="G11" s="69"/>
      <x:c r="H11" s="69"/>
      <x:c r="I11" s="69"/>
      <x:c r="J11" s="69"/>
      <x:c r="K11" s="69"/>
      <x:c r="L11" s="69"/>
      <x:c r="M11" s="69"/>
      <x:c r="N11" s="69"/>
      <x:c r="O11" s="69"/>
      <x:c r="P11" s="69"/>
      <x:c r="Q11" s="69"/>
      <x:c r="R11" s="69"/>
      <x:c r="S11" s="69"/>
      <x:c r="T11" s="69"/>
      <x:c r="U11" s="69"/>
      <x:c r="V11" s="69"/>
      <x:c r="W11" s="69"/>
      <x:c r="X11" s="69"/>
      <x:c r="Y11" s="69"/>
      <x:c r="Z11" s="69"/>
      <x:c r="AA11" s="69"/>
      <x:c r="AB11" s="69"/>
      <x:c r="AC11" s="69"/>
    </x:row>
    <x:row r="12">
      <x:c r="A12" s="69" t="str">
        <x:v>Validação</x:v>
      </x:c>
      <x:c r="B12" s="69" t="str">
        <x:v>Resultado positivo</x:v>
      </x:c>
      <x:c r="C12" s="69" t="str">
        <x:v>Evidência forte</x:v>
      </x:c>
      <x:c r="D12" s="69" t="n">
        <x:v>75</x:v>
      </x:c>
      <x:c r="E12" s="69" t="str">
        <x:v>Score_Validação</x:v>
      </x:c>
      <x:c r="F12" s="69" t="str"/>
      <x:c r="G12" s="69"/>
      <x:c r="H12" s="69"/>
      <x:c r="I12" s="69"/>
      <x:c r="J12" s="69"/>
      <x:c r="K12" s="69"/>
      <x:c r="L12" s="69"/>
      <x:c r="M12" s="69"/>
      <x:c r="N12" s="69"/>
      <x:c r="O12" s="69"/>
      <x:c r="P12" s="69"/>
      <x:c r="Q12" s="69"/>
      <x:c r="R12" s="69"/>
      <x:c r="S12" s="69"/>
      <x:c r="T12" s="69"/>
      <x:c r="U12" s="69"/>
      <x:c r="V12" s="69"/>
      <x:c r="W12" s="69"/>
      <x:c r="X12" s="69"/>
      <x:c r="Y12" s="69"/>
      <x:c r="Z12" s="69"/>
      <x:c r="AA12" s="69"/>
      <x:c r="AB12" s="69"/>
      <x:c r="AC12" s="69"/>
    </x:row>
    <x:row r="13">
      <x:c r="A13" s="69" t="str">
        <x:v>Validação</x:v>
      </x:c>
      <x:c r="B13" s="69" t="str">
        <x:v>Compra comercial / produto validado</x:v>
      </x:c>
      <x:c r="C13" s="69" t="str">
        <x:v>Evidência máxima</x:v>
      </x:c>
      <x:c r="D13" s="69" t="n">
        <x:v>100</x:v>
      </x:c>
      <x:c r="E13" s="69" t="str">
        <x:v>Score_Validação</x:v>
      </x:c>
      <x:c r="F13" s="69" t="str"/>
      <x:c r="G13" s="69"/>
      <x:c r="H13" s="69"/>
      <x:c r="I13" s="69"/>
      <x:c r="J13" s="69"/>
      <x:c r="K13" s="69"/>
      <x:c r="L13" s="69"/>
      <x:c r="M13" s="69"/>
      <x:c r="N13" s="69"/>
      <x:c r="O13" s="69"/>
      <x:c r="P13" s="69"/>
      <x:c r="Q13" s="69"/>
      <x:c r="R13" s="69"/>
      <x:c r="S13" s="69"/>
      <x:c r="T13" s="69"/>
      <x:c r="U13" s="69"/>
      <x:c r="V13" s="69"/>
      <x:c r="W13" s="69"/>
      <x:c r="X13" s="69"/>
      <x:c r="Y13" s="69"/>
      <x:c r="Z13" s="69"/>
      <x:c r="AA13" s="69"/>
      <x:c r="AB13" s="69"/>
      <x:c r="AC13" s="69"/>
    </x:row>
    <x:row r="14">
      <x:c r="A14" s="69" t="str">
        <x:v>Kaizen</x:v>
      </x:c>
      <x:c r="B14" s="69" t="str">
        <x:v>K0</x:v>
      </x:c>
      <x:c r="C14" s="69" t="str">
        <x:v>Sem diagnóstico</x:v>
      </x:c>
      <x:c r="D14" s="69" t="n">
        <x:v>0</x:v>
      </x:c>
      <x:c r="E14" s="69" t="str">
        <x:v>Score_Kaizen</x:v>
      </x:c>
      <x:c r="F14" s="69" t="str">
        <x:v>Todos os clientes iniciam K0</x:v>
      </x:c>
      <x:c r="G14" s="69"/>
      <x:c r="H14" s="69"/>
      <x:c r="I14" s="69"/>
      <x:c r="J14" s="69"/>
      <x:c r="K14" s="69"/>
      <x:c r="L14" s="69"/>
      <x:c r="M14" s="69"/>
      <x:c r="N14" s="69"/>
      <x:c r="O14" s="69"/>
      <x:c r="P14" s="69"/>
      <x:c r="Q14" s="69"/>
      <x:c r="R14" s="69"/>
      <x:c r="S14" s="69"/>
      <x:c r="T14" s="69"/>
      <x:c r="U14" s="69"/>
      <x:c r="V14" s="69"/>
      <x:c r="W14" s="69"/>
      <x:c r="X14" s="69"/>
      <x:c r="Y14" s="69"/>
      <x:c r="Z14" s="69"/>
      <x:c r="AA14" s="69"/>
      <x:c r="AB14" s="69"/>
      <x:c r="AC14" s="69"/>
    </x:row>
    <x:row r="15">
      <x:c r="A15" s="69" t="str">
        <x:v>Kaizen</x:v>
      </x:c>
      <x:c r="B15" s="69" t="str">
        <x:v>K1</x:v>
      </x:c>
      <x:c r="C15" s="69" t="str">
        <x:v>Diagnóstico concluído</x:v>
      </x:c>
      <x:c r="D15" s="69" t="n">
        <x:v>100</x:v>
      </x:c>
      <x:c r="E15" s="69" t="str">
        <x:v>Score_Kaizen</x:v>
      </x:c>
      <x:c r="F15" s="69" t="str"/>
      <x:c r="G15" s="69"/>
      <x:c r="H15" s="69"/>
      <x:c r="I15" s="69"/>
      <x:c r="J15" s="69"/>
      <x:c r="K15" s="69"/>
      <x:c r="L15" s="69"/>
      <x:c r="M15" s="69"/>
      <x:c r="N15" s="69"/>
      <x:c r="O15" s="69"/>
      <x:c r="P15" s="69"/>
      <x:c r="Q15" s="69"/>
      <x:c r="R15" s="69"/>
      <x:c r="S15" s="69"/>
      <x:c r="T15" s="69"/>
      <x:c r="U15" s="69"/>
      <x:c r="V15" s="69"/>
      <x:c r="W15" s="69"/>
      <x:c r="X15" s="69"/>
      <x:c r="Y15" s="69"/>
      <x:c r="Z15" s="69"/>
      <x:c r="AA15" s="69"/>
      <x:c r="AB15" s="69"/>
      <x:c r="AC15" s="69"/>
    </x:row>
    <x:row r="16">
      <x:c r="A16" s="69" t="str">
        <x:v>Kaizen</x:v>
      </x:c>
      <x:c r="B16" s="69" t="str">
        <x:v>K2</x:v>
      </x:c>
      <x:c r="C16" s="69" t="str">
        <x:v>Plano de ação definido</x:v>
      </x:c>
      <x:c r="D16" s="69" t="n">
        <x:v>250</x:v>
      </x:c>
      <x:c r="E16" s="69" t="str">
        <x:v>Score_Kaizen</x:v>
      </x:c>
      <x:c r="F16" s="69" t="str"/>
      <x:c r="G16" s="69"/>
      <x:c r="H16" s="69"/>
      <x:c r="I16" s="69"/>
      <x:c r="J16" s="69"/>
      <x:c r="K16" s="69"/>
      <x:c r="L16" s="69"/>
      <x:c r="M16" s="69"/>
      <x:c r="N16" s="69"/>
      <x:c r="O16" s="69"/>
      <x:c r="P16" s="69"/>
      <x:c r="Q16" s="69"/>
      <x:c r="R16" s="69"/>
      <x:c r="S16" s="69"/>
      <x:c r="T16" s="69"/>
      <x:c r="U16" s="69"/>
      <x:c r="V16" s="69"/>
      <x:c r="W16" s="69"/>
      <x:c r="X16" s="69"/>
      <x:c r="Y16" s="69"/>
      <x:c r="Z16" s="69"/>
      <x:c r="AA16" s="69"/>
      <x:c r="AB16" s="69"/>
      <x:c r="AC16" s="69"/>
    </x:row>
    <x:row r="17">
      <x:c r="A17" s="69" t="str">
        <x:v>Kaizen</x:v>
      </x:c>
      <x:c r="B17" s="69" t="str">
        <x:v>K3</x:v>
      </x:c>
      <x:c r="C17" s="69" t="str">
        <x:v>Projeto implantado</x:v>
      </x:c>
      <x:c r="D17" s="69" t="n">
        <x:v>500</x:v>
      </x:c>
      <x:c r="E17" s="69" t="str">
        <x:v>Score_Kaizen</x:v>
      </x:c>
      <x:c r="F17" s="69" t="str"/>
      <x:c r="G17" s="69"/>
      <x:c r="H17" s="69"/>
      <x:c r="I17" s="69"/>
      <x:c r="J17" s="69"/>
      <x:c r="K17" s="69"/>
      <x:c r="L17" s="69"/>
      <x:c r="M17" s="69"/>
      <x:c r="N17" s="69"/>
      <x:c r="O17" s="69"/>
      <x:c r="P17" s="69"/>
      <x:c r="Q17" s="69"/>
      <x:c r="R17" s="69"/>
      <x:c r="S17" s="69"/>
      <x:c r="T17" s="69"/>
      <x:c r="U17" s="69"/>
      <x:c r="V17" s="69"/>
      <x:c r="W17" s="69"/>
      <x:c r="X17" s="69"/>
      <x:c r="Y17" s="69"/>
      <x:c r="Z17" s="69"/>
      <x:c r="AA17" s="69"/>
      <x:c r="AB17" s="69"/>
      <x:c r="AC17" s="69"/>
    </x:row>
    <x:row r="18">
      <x:c r="A18" s="69" t="str">
        <x:v>Kaizen</x:v>
      </x:c>
      <x:c r="B18" s="69" t="str">
        <x:v>K4</x:v>
      </x:c>
      <x:c r="C18" s="69" t="str">
        <x:v>ROI validado</x:v>
      </x:c>
      <x:c r="D18" s="69" t="n">
        <x:v>750</x:v>
      </x:c>
      <x:c r="E18" s="69" t="str">
        <x:v>Score_Kaizen</x:v>
      </x:c>
      <x:c r="F18" s="69" t="str"/>
      <x:c r="G18" s="69"/>
      <x:c r="H18" s="69"/>
      <x:c r="I18" s="69"/>
      <x:c r="J18" s="69"/>
      <x:c r="K18" s="69"/>
      <x:c r="L18" s="69"/>
      <x:c r="M18" s="69"/>
      <x:c r="N18" s="69"/>
      <x:c r="O18" s="69"/>
      <x:c r="P18" s="69"/>
      <x:c r="Q18" s="69"/>
      <x:c r="R18" s="69"/>
      <x:c r="S18" s="69"/>
      <x:c r="T18" s="69"/>
      <x:c r="U18" s="69"/>
      <x:c r="V18" s="69"/>
      <x:c r="W18" s="69"/>
      <x:c r="X18" s="69"/>
      <x:c r="Y18" s="69"/>
      <x:c r="Z18" s="69"/>
      <x:c r="AA18" s="69"/>
      <x:c r="AB18" s="69"/>
      <x:c r="AC18" s="69"/>
    </x:row>
    <x:row r="19">
      <x:c r="A19" s="69" t="str">
        <x:v>Kaizen</x:v>
      </x:c>
      <x:c r="B19" s="69" t="str">
        <x:v>K5</x:v>
      </x:c>
      <x:c r="C19" s="69" t="str">
        <x:v>Benchmark operacional</x:v>
      </x:c>
      <x:c r="D19" s="69" t="n">
        <x:v>1000</x:v>
      </x:c>
      <x:c r="E19" s="69" t="str">
        <x:v>Score_Kaizen</x:v>
      </x:c>
      <x:c r="F19" s="69" t="str"/>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x:c r="B22" s="69"/>
      <x:c r="C22" s="69"/>
      <x:c r="D22" s="69"/>
      <x:c r="E22" s="69"/>
      <x:c r="F22" s="69"/>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F1"/>
  </x:mergeCells>
  <x:pageMargins left="0.7" right="0.7" top="0.75" bottom="0.75" header="0.3" footer="0.3"/>
  <x:tableParts count="1">
    <x:tablePart xmlns:r="http://schemas.openxmlformats.org/officeDocument/2006/relationships" r:id="Ra67903e27dad489f"/>
  </x:tableParts>
</x:worksheet>
</file>

<file path=xl/worksheets/sheet3.xml><?xml version="1.0" encoding="utf-8"?>
<x:worksheet xmlns:x="http://schemas.openxmlformats.org/spreadsheetml/2006/main">
  <x:sheetFormatPr defaultRowHeight="15"/>
  <x:cols>
    <x:col min="1" max="1" width="28" hidden="0" customWidth="1"/>
    <x:col min="2" max="2" width="12" hidden="0" customWidth="1"/>
    <x:col min="3" max="3" width="13" hidden="0" customWidth="1"/>
    <x:col min="4" max="4" width="13" hidden="0" customWidth="1"/>
    <x:col min="5" max="5" width="12" hidden="0" customWidth="1"/>
    <x:col min="6" max="6" width="40" hidden="0" customWidth="1"/>
    <x:col min="7" max="7" width="42" hidden="0" customWidth="1"/>
    <x:col min="8" max="8" width="12" hidden="0" customWidth="1"/>
    <x:col min="9" max="9" width="14" hidden="0" customWidth="1"/>
    <x:col min="10" max="10" width="14" hidden="0" customWidth="1"/>
    <x:col min="11" max="11" width="14" hidden="0" customWidth="1"/>
    <x:col min="12" max="12" width="14" hidden="0" customWidth="1"/>
    <x:col min="13" max="13" width="10" hidden="0" customWidth="1"/>
    <x:col min="14" max="14" width="16" hidden="0" customWidth="1"/>
    <x:col min="15" max="15" width="22" hidden="0" customWidth="1"/>
    <x:col min="16" max="16" width="12" hidden="0" customWidth="1"/>
    <x:col min="17" max="17" width="12" hidden="0" customWidth="1"/>
    <x:col min="18" max="18" width="10" hidden="0" customWidth="1"/>
    <x:col min="19" max="19" width="12" hidden="0" customWidth="1"/>
    <x:col min="20" max="20" width="18" hidden="0" customWidth="1"/>
    <x:col min="21" max="21" width="20" hidden="0" customWidth="1"/>
    <x:col min="22" max="22" width="16" hidden="0" customWidth="1"/>
    <x:col min="23" max="23" width="14" hidden="0" customWidth="1"/>
    <x:col min="24" max="24" width="16" hidden="0" customWidth="1"/>
    <x:col min="25" max="25" width="20" hidden="0" customWidth="1"/>
    <x:col min="26" max="26" width="18" hidden="0" customWidth="1"/>
    <x:col min="27" max="27" width="24" hidden="0" customWidth="1"/>
    <x:col min="28" max="28" width="28" hidden="0" customWidth="1"/>
    <x:col min="29" max="29" width="42" hidden="0" customWidth="1"/>
  </x:cols>
  <x:sheetData>
    <x:row r="1">
      <x:c r="A1" s="77" t="str">
        <x:v>Cliente</x:v>
      </x:c>
      <x:c r="B1" s="77" t="str">
        <x:v>Area_ha</x:v>
      </x:c>
      <x:c r="C1" s="77" t="str">
        <x:v>Cana_planta_ha</x:v>
      </x:c>
      <x:c r="D1" s="77" t="str">
        <x:v>Cana_soca_ha</x:v>
      </x:c>
      <x:c r="E1" s="77" t="str">
        <x:v>Prioridade_original</x:v>
      </x:c>
      <x:c r="F1" s="77" t="str">
        <x:v>Situacao_atual</x:v>
      </x:c>
      <x:c r="G1" s="77" t="str">
        <x:v>Acao_proposta</x:v>
      </x:c>
      <x:c r="H1" s="77" t="str">
        <x:v>Score_Area</x:v>
      </x:c>
      <x:c r="I1" s="77" t="str">
        <x:v>Score_Validacao</x:v>
      </x:c>
      <x:c r="J1" s="77" t="str">
        <x:v>Score_Abertura</x:v>
      </x:c>
      <x:c r="K1" s="77" t="str">
        <x:v>Score_Portfolio</x:v>
      </x:c>
      <x:c r="L1" s="77" t="str">
        <x:v>Score_Influencia</x:v>
      </x:c>
      <x:c r="M1" s="77" t="str">
        <x:v>OPI</x:v>
      </x:c>
      <x:c r="N1" s="77" t="str">
        <x:v>Categoria_Orizon</x:v>
      </x:c>
      <x:c r="O1" s="77" t="str">
        <x:v>Tipo_Estrategico</x:v>
      </x:c>
      <x:c r="P1" s="77" t="str">
        <x:v>Kaizen_Stage</x:v>
      </x:c>
      <x:c r="Q1" s="77" t="str">
        <x:v>Score_Kaizen</x:v>
      </x:c>
      <x:c r="R1" s="77" t="str">
        <x:v>ICP</x:v>
      </x:c>
      <x:c r="S1" s="77" t="str">
        <x:v>Prob_Conversao</x:v>
      </x:c>
      <x:c r="T1" s="77" t="str">
        <x:v>Pot_Biologicos_Bruto_R$</x:v>
      </x:c>
      <x:c r="U1" s="77" t="str">
        <x:v>Pot_Biologicos_Convertivel_R$</x:v>
      </x:c>
      <x:c r="V1" s="77" t="str">
        <x:v>Creditos_Potenciais</x:v>
      </x:c>
      <x:c r="W1" s="77" t="str">
        <x:v>Pot_TCH_R$</x:v>
      </x:c>
      <x:c r="X1" s="77" t="str">
        <x:v>Pot_Consultoria_R$</x:v>
      </x:c>
      <x:c r="Y1" s="77" t="str">
        <x:v>Pot_Total_Ecossistema_R$</x:v>
      </x:c>
      <x:c r="Z1" s="77" t="str">
        <x:v>Prioridade_Estrategica</x:v>
      </x:c>
      <x:c r="AA1" s="77" t="str">
        <x:v>Produtos_mapeados</x:v>
      </x:c>
      <x:c r="AB1" s="77" t="str">
        <x:v>Flag_Dados</x:v>
      </x:c>
      <x:c r="AC1" s="77" t="str">
        <x:v>Proximo_Movimento</x:v>
      </x:c>
    </x:row>
    <x:row r="2">
      <x:c r="A2" s="69" t="str">
        <x:v>ALCOESTE</x:v>
      </x:c>
      <x:c r="B2" s="82" t="n">
        <x:v>33000</x:v>
      </x:c>
      <x:c r="C2" s="82" t="n">
        <x:v>4950</x:v>
      </x:c>
      <x:c r="D2" s="82" t="n">
        <x:v>28050</x:v>
      </x:c>
      <x:c r="E2" s="69" t="str">
        <x:v>Baixa</x:v>
      </x:c>
      <x:c r="F2" s="69" t="str">
        <x:v>trabalho concluído sem conversão comercial. Cliente recluso não quis nos receber. Em dificuldades financeiras</x:v>
      </x:c>
      <x:c r="G2" s="69" t="str">
        <x:v>Reaproximação gerência, entendimento situação financeira do cliente (proposta de prazo a ser elaborada). Trabalhos em soqueira com Nematicidas</x:v>
      </x:c>
      <x:c r="H2" s="83" t="n">
        <x:f>IF(B2&lt;20000,20,IF(B2&lt;50000,40,IF(B2&lt;100000,60,IF(B2&lt;200000,80,100))))</x:f>
        <x:v>40</x:v>
      </x:c>
      <x:c r="I2" s="83" t="n">
        <x:v>65</x:v>
      </x:c>
      <x:c r="J2" s="83" t="n">
        <x:v>30</x:v>
      </x:c>
      <x:c r="K2" s="83" t="n">
        <x:v>25</x:v>
      </x:c>
      <x:c r="L2" s="83" t="n">
        <x:v>50</x:v>
      </x:c>
      <x:c r="M2" s="83" t="n">
        <x:f>ROUND((H2*Parametros_OPI!$B$4)+(I2*Parametros_OPI!$B$5)+(J2*Parametros_OPI!$B$6)+(K2*Parametros_OPI!$B$7)+(L2*Parametros_OPI!$B$8),1)</x:f>
        <x:v>43</x:v>
      </x:c>
      <x:c r="N2" s="69" t="str">
        <x:f>IF(AND(L2&gt;=100,B2&gt;=500000),"Legacy Anchor",IF(OR(M2&gt;=90,AND(L2&gt;=95,B2&gt;=150000)),"Legacy",IF(M2&gt;=70,"Prime",IF(M2&gt;=50,"Flow","Foundation"))))</x:f>
        <x:v>Foundation</x:v>
      </x:c>
      <x:c r="O2" s="69" t="str">
        <x:f>IF(N2="Legacy Anchor","Cliente âncora",IF(N2="Legacy","Operação estratégica",IF(N2="Prime","Alta performance potencial",IF(N2="Flow","Evolução contínua","Estruturação operacional"))))</x:f>
        <x:v>Estruturação operacional</x:v>
      </x:c>
      <x:c r="P2" s="69" t="str">
        <x:v>K0</x:v>
      </x:c>
      <x:c r="Q2" s="102" t="n">
        <x:v>0</x:v>
      </x:c>
      <x:c r="R2" s="69" t="str">
        <x:f>IF(M2&gt;=85,"ICP A",IF(M2&gt;=65,"ICP B","ICP C"))</x:f>
        <x:v>ICP C</x:v>
      </x:c>
      <x:c r="S2" s="103" t="n">
        <x:f>ROUND(MAX(Parametros_OPI!$B$16,MIN(Parametros_OPI!$B$17,(M2/100*0.55)+(I2/100*0.20)+(J2/100*0.15)+(K2/100*0.10))),2)</x:f>
        <x:v>0.44</x:v>
      </x:c>
      <x:c r="T2" s="84" t="n">
        <x:f>C2*Parametros_OPI!$B$9+D2*Parametros_OPI!$B$10</x:f>
        <x:v>6534000</x:v>
      </x:c>
      <x:c r="U2" s="84" t="n">
        <x:f>ROUND(T2*S2,0)</x:f>
        <x:v>2874960</x:v>
      </x:c>
      <x:c r="V2" s="82" t="n">
        <x:f>ROUND((U2*Parametros_OPI!$B$15)*IF(N2="Legacy Anchor",2.5,IF(N2="Legacy",2,IF(N2="Prime",1.5,IF(N2="Flow",1.2,1)))),0)</x:f>
        <x:v>28750</x:v>
      </x:c>
      <x:c r="W2" s="84" t="n">
        <x:f>ROUND(B2*Parametros_OPI!$B$11*Parametros_OPI!$B$12*S2,0)</x:f>
        <x:v>174240</x:v>
      </x:c>
      <x:c r="X2" s="84" t="n">
        <x:f>ROUND(B2*Parametros_OPI!$B$13*Parametros_OPI!$B$14*S2,0)</x:f>
        <x:v>50820</x:v>
      </x:c>
      <x:c r="Y2" s="84" t="n">
        <x:f>U2+W2+X2</x:f>
        <x:v>3100020</x:v>
      </x:c>
      <x:c r="Z2" s="69" t="str">
        <x:f>IF(AND(M2&gt;=85,S2&gt;=0.65),"A - Acelerar",IF(AND(M2&gt;=65,S2&gt;=0.45),"B - Desenvolver","C - Nutrir"))</x:f>
        <x:v>C - Nutrir</x:v>
      </x:c>
      <x:c r="AA2" s="69" t="str">
        <x:v>Nematicidas</x:v>
      </x:c>
      <x:c r="AB2" s="69" t="str">
        <x:v>OK</x:v>
      </x:c>
      <x:c r="AC2" s="69" t="str">
        <x:v>Reaproximação gerência, entendimento situação financeira do cliente (proposta de prazo a ser elaborada). Trabalhos em soqueira com Nematicidas</x:v>
      </x:c>
    </x:row>
    <x:row r="3">
      <x:c r="A3" s="69" t="str">
        <x:v>BP BIOENERGY</x:v>
      </x:c>
      <x:c r="B3" s="82" t="n">
        <x:v>200000</x:v>
      </x:c>
      <x:c r="C3" s="82" t="n">
        <x:v>30000</x:v>
      </x:c>
      <x:c r="D3" s="82" t="n">
        <x:v>170000</x:v>
      </x:c>
      <x:c r="E3" s="69" t="str">
        <x:v>Média</x:v>
      </x:c>
      <x:c r="F3" s="69" t="str">
        <x:v>protocolo Agrocomciência (Auras) CAV finalizado (aguardando relatório), protocolo Bettus concluído porém não caminhou comercialmente por questões técnicas da operação do BT no grupo (mas protocolo foi positivo). SEM PRODUTO VALIDADO PARA COTAÇÃO 25/26</x:v>
      </x:c>
      <x:c r="G3" s="69" t="str">
        <x:v>Aproximação comercial com suprimentos para participação de cotações Bovettus, Mettus e Aufix</x:v>
      </x:c>
      <x:c r="H3" s="83" t="n">
        <x:f>IF(B3&lt;20000,20,IF(B3&lt;50000,40,IF(B3&lt;100000,60,IF(B3&lt;200000,80,100))))</x:f>
        <x:v>100</x:v>
      </x:c>
      <x:c r="I3" s="83" t="n">
        <x:v>90</x:v>
      </x:c>
      <x:c r="J3" s="83" t="n">
        <x:v>65</x:v>
      </x:c>
      <x:c r="K3" s="83" t="n">
        <x:v>50</x:v>
      </x:c>
      <x:c r="L3" s="83" t="n">
        <x:v>95</x:v>
      </x:c>
      <x:c r="M3" s="83" t="n">
        <x:f>ROUND((H3*Parametros_OPI!$B$4)+(I3*Parametros_OPI!$B$5)+(J3*Parametros_OPI!$B$6)+(K3*Parametros_OPI!$B$7)+(L3*Parametros_OPI!$B$8),1)</x:f>
        <x:v>82.5</x:v>
      </x:c>
      <x:c r="N3" s="69" t="str">
        <x:f>IF(AND(L3&gt;=100,B3&gt;=500000),"Legacy Anchor",IF(OR(M3&gt;=90,AND(L3&gt;=95,B3&gt;=150000)),"Legacy",IF(M3&gt;=70,"Prime",IF(M3&gt;=50,"Flow","Foundation"))))</x:f>
        <x:v>Legacy</x:v>
      </x:c>
      <x:c r="O3" s="69" t="str">
        <x:f>IF(N3="Legacy Anchor","Cliente âncora",IF(N3="Legacy","Operação estratégica",IF(N3="Prime","Alta performance potencial",IF(N3="Flow","Evolução contínua","Estruturação operacional"))))</x:f>
        <x:v>Operação estratégica</x:v>
      </x:c>
      <x:c r="P3" s="69" t="str">
        <x:v>K0</x:v>
      </x:c>
      <x:c r="Q3" s="102" t="n">
        <x:v>0</x:v>
      </x:c>
      <x:c r="R3" s="69" t="str">
        <x:f>IF(M3&gt;=85,"ICP A",IF(M3&gt;=65,"ICP B","ICP C"))</x:f>
        <x:v>ICP B</x:v>
      </x:c>
      <x:c r="S3" s="103" t="n">
        <x:f>ROUND(MAX(Parametros_OPI!$B$16,MIN(Parametros_OPI!$B$17,(M3/100*0.55)+(I3/100*0.20)+(J3/100*0.15)+(K3/100*0.10))),2)</x:f>
        <x:v>0.78</x:v>
      </x:c>
      <x:c r="T3" s="84" t="n">
        <x:f>C3*Parametros_OPI!$B$9+D3*Parametros_OPI!$B$10</x:f>
        <x:v>39600000</x:v>
      </x:c>
      <x:c r="U3" s="84" t="n">
        <x:f>ROUND(T3*S3,0)</x:f>
        <x:v>30888000</x:v>
      </x:c>
      <x:c r="V3" s="82" t="n">
        <x:f>ROUND((U3*Parametros_OPI!$B$15)*IF(N3="Legacy Anchor",2.5,IF(N3="Legacy",2,IF(N3="Prime",1.5,IF(N3="Flow",1.2,1)))),0)</x:f>
        <x:v>617760</x:v>
      </x:c>
      <x:c r="W3" s="84" t="n">
        <x:f>ROUND(B3*Parametros_OPI!$B$11*Parametros_OPI!$B$12*S3,0)</x:f>
        <x:v>1872000</x:v>
      </x:c>
      <x:c r="X3" s="84" t="n">
        <x:f>ROUND(B3*Parametros_OPI!$B$13*Parametros_OPI!$B$14*S3,0)</x:f>
        <x:v>546000</x:v>
      </x:c>
      <x:c r="Y3" s="84" t="n">
        <x:f>U3+W3+X3</x:f>
        <x:v>33306000</x:v>
      </x:c>
      <x:c r="Z3" s="69" t="str">
        <x:f>IF(AND(M3&gt;=85,S3&gt;=0.65),"A - Acelerar",IF(AND(M3&gt;=65,S3&gt;=0.45),"B - Desenvolver","C - Nutrir"))</x:f>
        <x:v>B - Desenvolver</x:v>
      </x:c>
      <x:c r="AA3" s="69" t="str">
        <x:v>Auras, Aufix, Bovettus, Mettus</x:v>
      </x:c>
      <x:c r="AB3" s="69" t="str">
        <x:v>OK</x:v>
      </x:c>
      <x:c r="AC3" s="69" t="str">
        <x:v>Aproximação comercial com suprimentos para participação de cotações Bovettus, Mettus e Aufix</x:v>
      </x:c>
    </x:row>
    <x:row r="4">
      <x:c r="A4" s="69" t="str">
        <x:v>GRUPO ARALCO</x:v>
      </x:c>
      <x:c r="B4" s="82" t="n">
        <x:v>30000</x:v>
      </x:c>
      <x:c r="C4" s="82" t="n">
        <x:v>4500</x:v>
      </x:c>
      <x:c r="D4" s="82" t="n">
        <x:v>25500</x:v>
      </x:c>
      <x:c r="E4" s="69" t="str">
        <x:v>Alta</x:v>
      </x:c>
      <x:c r="F4" s="69" t="str">
        <x:v>área comercial Auras (plantio). Trabalho com Artefato e boas perspectivas comerciais. Precisamos suplementar com consultorias de apoio para fidelização do cliente</x:v>
      </x:c>
      <x:c r="G4" s="69" t="str">
        <x:v>Aproximação, explorando os resultados positivos com Auras e solicitando novas oportunidades comerciais com o Auba e Artefato, baseado em suporte e consultorias externas de apoio</x:v>
      </x:c>
      <x:c r="H4" s="83" t="n">
        <x:f>IF(B4&lt;20000,20,IF(B4&lt;50000,40,IF(B4&lt;100000,60,IF(B4&lt;200000,80,100))))</x:f>
        <x:v>40</x:v>
      </x:c>
      <x:c r="I4" s="83" t="n">
        <x:v>90</x:v>
      </x:c>
      <x:c r="J4" s="83" t="n">
        <x:v>85</x:v>
      </x:c>
      <x:c r="K4" s="83" t="n">
        <x:v>38</x:v>
      </x:c>
      <x:c r="L4" s="83" t="n">
        <x:v>50</x:v>
      </x:c>
      <x:c r="M4" s="83" t="n">
        <x:f>ROUND((H4*Parametros_OPI!$B$4)+(I4*Parametros_OPI!$B$5)+(J4*Parametros_OPI!$B$6)+(K4*Parametros_OPI!$B$7)+(L4*Parametros_OPI!$B$8),1)</x:f>
        <x:v>62.2</x:v>
      </x:c>
      <x:c r="N4" s="69" t="str">
        <x:f>IF(AND(L4&gt;=100,B4&gt;=500000),"Legacy Anchor",IF(OR(M4&gt;=90,AND(L4&gt;=95,B4&gt;=150000)),"Legacy",IF(M4&gt;=70,"Prime",IF(M4&gt;=50,"Flow","Foundation"))))</x:f>
        <x:v>Flow</x:v>
      </x:c>
      <x:c r="O4" s="69" t="str">
        <x:f>IF(N4="Legacy Anchor","Cliente âncora",IF(N4="Legacy","Operação estratégica",IF(N4="Prime","Alta performance potencial",IF(N4="Flow","Evolução contínua","Estruturação operacional"))))</x:f>
        <x:v>Evolução contínua</x:v>
      </x:c>
      <x:c r="P4" s="69" t="str">
        <x:v>K0</x:v>
      </x:c>
      <x:c r="Q4" s="102" t="n">
        <x:v>0</x:v>
      </x:c>
      <x:c r="R4" s="69" t="str">
        <x:f>IF(M4&gt;=85,"ICP A",IF(M4&gt;=65,"ICP B","ICP C"))</x:f>
        <x:v>ICP C</x:v>
      </x:c>
      <x:c r="S4" s="103" t="n">
        <x:f>ROUND(MAX(Parametros_OPI!$B$16,MIN(Parametros_OPI!$B$17,(M4/100*0.55)+(I4/100*0.20)+(J4/100*0.15)+(K4/100*0.10))),2)</x:f>
        <x:v>0.69</x:v>
      </x:c>
      <x:c r="T4" s="84" t="n">
        <x:f>C4*Parametros_OPI!$B$9+D4*Parametros_OPI!$B$10</x:f>
        <x:v>5940000</x:v>
      </x:c>
      <x:c r="U4" s="84" t="n">
        <x:f>ROUND(T4*S4,0)</x:f>
        <x:v>4098600</x:v>
      </x:c>
      <x:c r="V4" s="82" t="n">
        <x:f>ROUND((U4*Parametros_OPI!$B$15)*IF(N4="Legacy Anchor",2.5,IF(N4="Legacy",2,IF(N4="Prime",1.5,IF(N4="Flow",1.2,1)))),0)</x:f>
        <x:v>49183</x:v>
      </x:c>
      <x:c r="W4" s="84" t="n">
        <x:f>ROUND(B4*Parametros_OPI!$B$11*Parametros_OPI!$B$12*S4,0)</x:f>
        <x:v>248400</x:v>
      </x:c>
      <x:c r="X4" s="84" t="n">
        <x:f>ROUND(B4*Parametros_OPI!$B$13*Parametros_OPI!$B$14*S4,0)</x:f>
        <x:v>72450</x:v>
      </x:c>
      <x:c r="Y4" s="84" t="n">
        <x:f>U4+W4+X4</x:f>
        <x:v>4419450</x:v>
      </x:c>
      <x:c r="Z4" s="69" t="str">
        <x:f>IF(AND(M4&gt;=85,S4&gt;=0.65),"A - Acelerar",IF(AND(M4&gt;=65,S4&gt;=0.45),"B - Desenvolver","C - Nutrir"))</x:f>
        <x:v>C - Nutrir</x:v>
      </x:c>
      <x:c r="AA4" s="69" t="str">
        <x:v>Auras, Auba, Artefato</x:v>
      </x:c>
      <x:c r="AB4" s="69" t="str">
        <x:v>OK</x:v>
      </x:c>
      <x:c r="AC4" s="69" t="str">
        <x:v>Aproximação, explorando os resultados positivos com Auras e solicitando novas oportunidades comerciais com o Auba e Artefato, baseado em suporte e consultorias externas de apoio</x:v>
      </x:c>
    </x:row>
    <x:row r="5">
      <x:c r="A5" s="69" t="str">
        <x:v>GRUPO CLEALCO</x:v>
      </x:c>
      <x:c r="B5" s="82" t="n">
        <x:v>40000</x:v>
      </x:c>
      <x:c r="C5" s="82" t="n">
        <x:v>6000</x:v>
      </x:c>
      <x:c r="D5" s="82" t="n">
        <x:v>34000</x:v>
      </x:c>
      <x:c r="E5" s="69" t="str">
        <x:v>Alta</x:v>
      </x:c>
      <x:c r="F5" s="69" t="str">
        <x:v>campo Auras em soqueira finalizado com resultado pouco expressivo</x:v>
      </x:c>
      <x:c r="G5" s="69" t="str">
        <x:v>Estreitar relacionamento técnico e comercial, propor avanço do trabalho semi-comercial com Auras e Nerut. Avanço depende de conexão com a consultoria Planiagro que tem definido os manejos adotados</x:v>
      </x:c>
      <x:c r="H5" s="83" t="n">
        <x:f>IF(B5&lt;20000,20,IF(B5&lt;50000,40,IF(B5&lt;100000,60,IF(B5&lt;200000,80,100))))</x:f>
        <x:v>40</x:v>
      </x:c>
      <x:c r="I5" s="83" t="n">
        <x:v>35</x:v>
      </x:c>
      <x:c r="J5" s="83" t="n">
        <x:v>90</x:v>
      </x:c>
      <x:c r="K5" s="83" t="n">
        <x:v>25</x:v>
      </x:c>
      <x:c r="L5" s="83" t="n">
        <x:v>60</x:v>
      </x:c>
      <x:c r="M5" s="83" t="n">
        <x:f>ROUND((H5*Parametros_OPI!$B$4)+(I5*Parametros_OPI!$B$5)+(J5*Parametros_OPI!$B$6)+(K5*Parametros_OPI!$B$7)+(L5*Parametros_OPI!$B$8),1)</x:f>
        <x:v>48.5</x:v>
      </x:c>
      <x:c r="N5" s="69" t="str">
        <x:f>IF(AND(L5&gt;=100,B5&gt;=500000),"Legacy Anchor",IF(OR(M5&gt;=90,AND(L5&gt;=95,B5&gt;=150000)),"Legacy",IF(M5&gt;=70,"Prime",IF(M5&gt;=50,"Flow","Foundation"))))</x:f>
        <x:v>Foundation</x:v>
      </x:c>
      <x:c r="O5" s="69" t="str">
        <x:f>IF(N5="Legacy Anchor","Cliente âncora",IF(N5="Legacy","Operação estratégica",IF(N5="Prime","Alta performance potencial",IF(N5="Flow","Evolução contínua","Estruturação operacional"))))</x:f>
        <x:v>Estruturação operacional</x:v>
      </x:c>
      <x:c r="P5" s="69" t="str">
        <x:v>K0</x:v>
      </x:c>
      <x:c r="Q5" s="102" t="n">
        <x:v>0</x:v>
      </x:c>
      <x:c r="R5" s="69" t="str">
        <x:f>IF(M5&gt;=85,"ICP A",IF(M5&gt;=65,"ICP B","ICP C"))</x:f>
        <x:v>ICP C</x:v>
      </x:c>
      <x:c r="S5" s="103" t="n">
        <x:f>ROUND(MAX(Parametros_OPI!$B$16,MIN(Parametros_OPI!$B$17,(M5/100*0.55)+(I5/100*0.20)+(J5/100*0.15)+(K5/100*0.10))),2)</x:f>
        <x:v>0.5</x:v>
      </x:c>
      <x:c r="T5" s="84" t="n">
        <x:f>C5*Parametros_OPI!$B$9+D5*Parametros_OPI!$B$10</x:f>
        <x:v>7920000</x:v>
      </x:c>
      <x:c r="U5" s="84" t="n">
        <x:f>ROUND(T5*S5,0)</x:f>
        <x:v>3960000</x:v>
      </x:c>
      <x:c r="V5" s="82" t="n">
        <x:f>ROUND((U5*Parametros_OPI!$B$15)*IF(N5="Legacy Anchor",2.5,IF(N5="Legacy",2,IF(N5="Prime",1.5,IF(N5="Flow",1.2,1)))),0)</x:f>
        <x:v>39600</x:v>
      </x:c>
      <x:c r="W5" s="84" t="n">
        <x:f>ROUND(B5*Parametros_OPI!$B$11*Parametros_OPI!$B$12*S5,0)</x:f>
        <x:v>240000</x:v>
      </x:c>
      <x:c r="X5" s="84" t="n">
        <x:f>ROUND(B5*Parametros_OPI!$B$13*Parametros_OPI!$B$14*S5,0)</x:f>
        <x:v>70000</x:v>
      </x:c>
      <x:c r="Y5" s="84" t="n">
        <x:f>U5+W5+X5</x:f>
        <x:v>4270000</x:v>
      </x:c>
      <x:c r="Z5" s="69" t="str">
        <x:f>IF(AND(M5&gt;=85,S5&gt;=0.65),"A - Acelerar",IF(AND(M5&gt;=65,S5&gt;=0.45),"B - Desenvolver","C - Nutrir"))</x:f>
        <x:v>C - Nutrir</x:v>
      </x:c>
      <x:c r="AA5" s="69" t="str">
        <x:v>Auras, Nerut</x:v>
      </x:c>
      <x:c r="AB5" s="69" t="str">
        <x:v>OK</x:v>
      </x:c>
      <x:c r="AC5" s="69" t="str">
        <x:v>Estreitar relacionamento técnico e comercial, propor avanço do trabalho semi-comercial com Auras e Nerut. Avanço depende de conexão com a consultoria Planiagro que tem definido os manejos adotados</x:v>
      </x:c>
    </x:row>
    <x:row r="6">
      <x:c r="A6" s="69" t="str">
        <x:v>Grupo CMAA</x:v>
      </x:c>
      <x:c r="B6" s="82" t="n">
        <x:v>120000</x:v>
      </x:c>
      <x:c r="C6" s="82" t="n">
        <x:v>18000</x:v>
      </x:c>
      <x:c r="D6" s="82" t="n">
        <x:v>102000</x:v>
      </x:c>
      <x:c r="E6" s="69" t="str">
        <x:v>Alta</x:v>
      </x:c>
      <x:c r="F6" s="69" t="str">
        <x:v>Áreas semi comerciais - Cliente adquiriu 500 ha para teste AURAS - 200 ha de AUBATrabalhar com resultados obtidos a partir de compras passadas</x:v>
      </x:c>
      <x:c r="G6" s="69" t="str">
        <x:v>Monitoramento através de Software parceiro GeoData em busca de protocolos personalizados para eficácia de bionematicida e complexo de murcha</x:v>
      </x:c>
      <x:c r="H6" s="83" t="n">
        <x:f>IF(B6&lt;20000,20,IF(B6&lt;50000,40,IF(B6&lt;100000,60,IF(B6&lt;200000,80,100))))</x:f>
        <x:v>80</x:v>
      </x:c>
      <x:c r="I6" s="83" t="n">
        <x:v>80</x:v>
      </x:c>
      <x:c r="J6" s="83" t="n">
        <x:v>70</x:v>
      </x:c>
      <x:c r="K6" s="83" t="n">
        <x:v>35</x:v>
      </x:c>
      <x:c r="L6" s="83" t="n">
        <x:v>85</x:v>
      </x:c>
      <x:c r="M6" s="83" t="n">
        <x:f>ROUND((H6*Parametros_OPI!$B$4)+(I6*Parametros_OPI!$B$5)+(J6*Parametros_OPI!$B$6)+(K6*Parametros_OPI!$B$7)+(L6*Parametros_OPI!$B$8),1)</x:f>
        <x:v>71.8</x:v>
      </x:c>
      <x:c r="N6" s="69" t="str">
        <x:f>IF(AND(L6&gt;=100,B6&gt;=500000),"Legacy Anchor",IF(OR(M6&gt;=90,AND(L6&gt;=95,B6&gt;=150000)),"Legacy",IF(M6&gt;=70,"Prime",IF(M6&gt;=50,"Flow","Foundation"))))</x:f>
        <x:v>Prime</x:v>
      </x:c>
      <x:c r="O6" s="69" t="str">
        <x:f>IF(N6="Legacy Anchor","Cliente âncora",IF(N6="Legacy","Operação estratégica",IF(N6="Prime","Alta performance potencial",IF(N6="Flow","Evolução contínua","Estruturação operacional"))))</x:f>
        <x:v>Alta performance potencial</x:v>
      </x:c>
      <x:c r="P6" s="69" t="str">
        <x:v>K0</x:v>
      </x:c>
      <x:c r="Q6" s="102" t="n">
        <x:v>0</x:v>
      </x:c>
      <x:c r="R6" s="69" t="str">
        <x:f>IF(M6&gt;=85,"ICP A",IF(M6&gt;=65,"ICP B","ICP C"))</x:f>
        <x:v>ICP B</x:v>
      </x:c>
      <x:c r="S6" s="103" t="n">
        <x:f>ROUND(MAX(Parametros_OPI!$B$16,MIN(Parametros_OPI!$B$17,(M6/100*0.55)+(I6/100*0.20)+(J6/100*0.15)+(K6/100*0.10))),2)</x:f>
        <x:v>0.69</x:v>
      </x:c>
      <x:c r="T6" s="84" t="n">
        <x:f>C6*Parametros_OPI!$B$9+D6*Parametros_OPI!$B$10</x:f>
        <x:v>23760000</x:v>
      </x:c>
      <x:c r="U6" s="84" t="n">
        <x:f>ROUND(T6*S6,0)</x:f>
        <x:v>16394400</x:v>
      </x:c>
      <x:c r="V6" s="82" t="n">
        <x:f>ROUND((U6*Parametros_OPI!$B$15)*IF(N6="Legacy Anchor",2.5,IF(N6="Legacy",2,IF(N6="Prime",1.5,IF(N6="Flow",1.2,1)))),0)</x:f>
        <x:v>245916</x:v>
      </x:c>
      <x:c r="W6" s="84" t="n">
        <x:f>ROUND(B6*Parametros_OPI!$B$11*Parametros_OPI!$B$12*S6,0)</x:f>
        <x:v>993600</x:v>
      </x:c>
      <x:c r="X6" s="84" t="n">
        <x:f>ROUND(B6*Parametros_OPI!$B$13*Parametros_OPI!$B$14*S6,0)</x:f>
        <x:v>289800</x:v>
      </x:c>
      <x:c r="Y6" s="84" t="n">
        <x:f>U6+W6+X6</x:f>
        <x:v>17677800</x:v>
      </x:c>
      <x:c r="Z6" s="69" t="str">
        <x:f>IF(AND(M6&gt;=85,S6&gt;=0.65),"A - Acelerar",IF(AND(M6&gt;=65,S6&gt;=0.45),"B - Desenvolver","C - Nutrir"))</x:f>
        <x:v>B - Desenvolver</x:v>
      </x:c>
      <x:c r="AA6" s="69" t="str">
        <x:v>Auras, Auba, Nematicidas</x:v>
      </x:c>
      <x:c r="AB6" s="69" t="str">
        <x:v>OK</x:v>
      </x:c>
      <x:c r="AC6" s="69" t="str">
        <x:v>Monitoramento através de Software parceiro GeoData em busca de protocolos personalizados para eficácia de bionematicida e complexo de murcha</x:v>
      </x:c>
    </x:row>
    <x:row r="7">
      <x:c r="A7" s="69" t="str">
        <x:v>GRUPO CMNP</x:v>
      </x:c>
      <x:c r="B7" s="82" t="n">
        <x:v>50000</x:v>
      </x:c>
      <x:c r="C7" s="82" t="n">
        <x:v>7500</x:v>
      </x:c>
      <x:c r="D7" s="82" t="n">
        <x:v>42500</x:v>
      </x:c>
      <x:c r="E7" s="69" t="str">
        <x:v>Alta</x:v>
      </x:c>
      <x:c r="F7" s="69" t="str">
        <x:v>área semi-comercial de Auras em plantio com resultado pouco expressivo</x:v>
      </x:c>
      <x:c r="G7" s="69" t="str">
        <x:v>Reaproximação do cliente para tentar participar das cotações de produtos da linha básica como fungos</x:v>
      </x:c>
      <x:c r="H7" s="83" t="n">
        <x:f>IF(B7&lt;20000,20,IF(B7&lt;50000,40,IF(B7&lt;100000,60,IF(B7&lt;200000,80,100))))</x:f>
        <x:v>60</x:v>
      </x:c>
      <x:c r="I7" s="83" t="n">
        <x:v>40</x:v>
      </x:c>
      <x:c r="J7" s="83" t="n">
        <x:v>90</x:v>
      </x:c>
      <x:c r="K7" s="83" t="n">
        <x:v>25</x:v>
      </x:c>
      <x:c r="L7" s="83" t="n">
        <x:v>60</x:v>
      </x:c>
      <x:c r="M7" s="83" t="n">
        <x:f>ROUND((H7*Parametros_OPI!$B$4)+(I7*Parametros_OPI!$B$5)+(J7*Parametros_OPI!$B$6)+(K7*Parametros_OPI!$B$7)+(L7*Parametros_OPI!$B$8),1)</x:f>
        <x:v>55.8</x:v>
      </x:c>
      <x:c r="N7" s="69" t="str">
        <x:f>IF(AND(L7&gt;=100,B7&gt;=500000),"Legacy Anchor",IF(OR(M7&gt;=90,AND(L7&gt;=95,B7&gt;=150000)),"Legacy",IF(M7&gt;=70,"Prime",IF(M7&gt;=50,"Flow","Foundation"))))</x:f>
        <x:v>Flow</x:v>
      </x:c>
      <x:c r="O7" s="69" t="str">
        <x:f>IF(N7="Legacy Anchor","Cliente âncora",IF(N7="Legacy","Operação estratégica",IF(N7="Prime","Alta performance potencial",IF(N7="Flow","Evolução contínua","Estruturação operacional"))))</x:f>
        <x:v>Evolução contínua</x:v>
      </x:c>
      <x:c r="P7" s="69" t="str">
        <x:v>K0</x:v>
      </x:c>
      <x:c r="Q7" s="102" t="n">
        <x:v>0</x:v>
      </x:c>
      <x:c r="R7" s="69" t="str">
        <x:f>IF(M7&gt;=85,"ICP A",IF(M7&gt;=65,"ICP B","ICP C"))</x:f>
        <x:v>ICP C</x:v>
      </x:c>
      <x:c r="S7" s="103" t="n">
        <x:f>ROUND(MAX(Parametros_OPI!$B$16,MIN(Parametros_OPI!$B$17,(M7/100*0.55)+(I7/100*0.20)+(J7/100*0.15)+(K7/100*0.10))),2)</x:f>
        <x:v>0.55</x:v>
      </x:c>
      <x:c r="T7" s="84" t="n">
        <x:f>C7*Parametros_OPI!$B$9+D7*Parametros_OPI!$B$10</x:f>
        <x:v>9900000</x:v>
      </x:c>
      <x:c r="U7" s="84" t="n">
        <x:f>ROUND(T7*S7,0)</x:f>
        <x:v>5445000</x:v>
      </x:c>
      <x:c r="V7" s="82" t="n">
        <x:f>ROUND((U7*Parametros_OPI!$B$15)*IF(N7="Legacy Anchor",2.5,IF(N7="Legacy",2,IF(N7="Prime",1.5,IF(N7="Flow",1.2,1)))),0)</x:f>
        <x:v>65340</x:v>
      </x:c>
      <x:c r="W7" s="84" t="n">
        <x:f>ROUND(B7*Parametros_OPI!$B$11*Parametros_OPI!$B$12*S7,0)</x:f>
        <x:v>330000</x:v>
      </x:c>
      <x:c r="X7" s="84" t="n">
        <x:f>ROUND(B7*Parametros_OPI!$B$13*Parametros_OPI!$B$14*S7,0)</x:f>
        <x:v>96250</x:v>
      </x:c>
      <x:c r="Y7" s="84" t="n">
        <x:f>U7+W7+X7</x:f>
        <x:v>5871250</x:v>
      </x:c>
      <x:c r="Z7" s="69" t="str">
        <x:f>IF(AND(M7&gt;=85,S7&gt;=0.65),"A - Acelerar",IF(AND(M7&gt;=65,S7&gt;=0.45),"B - Desenvolver","C - Nutrir"))</x:f>
        <x:v>C - Nutrir</x:v>
      </x:c>
      <x:c r="AA7" s="69" t="str">
        <x:v>Auras, Fungos</x:v>
      </x:c>
      <x:c r="AB7" s="69" t="str">
        <x:v>OK</x:v>
      </x:c>
      <x:c r="AC7" s="69" t="str">
        <x:v>Reaproximação do cliente para tentar participar das cotações de produtos da linha básica como fungos</x:v>
      </x:c>
    </x:row>
    <x:row r="8">
      <x:c r="A8" s="69" t="str">
        <x:v>GRUPO COCAL</x:v>
      </x:c>
      <x:c r="B8" s="82" t="n">
        <x:v>140000</x:v>
      </x:c>
      <x:c r="C8" s="82" t="n">
        <x:v>21000</x:v>
      </x:c>
      <x:c r="D8" s="82" t="n">
        <x:v>119000</x:v>
      </x:c>
      <x:c r="E8" s="69" t="str">
        <x:v>Alta</x:v>
      </x:c>
      <x:c r="F8" s="69" t="str">
        <x:v>cliente com aquisição comercial Mettus. Protocolo externo de Auba (breve finalização)</x:v>
      </x:c>
      <x:c r="G8" s="69" t="str">
        <x:v>Pendente resultados Protocolo Auba (Fatec) e tentar validar proposta semi-comercial do Auras + Nerut. Continuidade com o Mettus</x:v>
      </x:c>
      <x:c r="H8" s="83" t="n">
        <x:f>IF(B8&lt;20000,20,IF(B8&lt;50000,40,IF(B8&lt;100000,60,IF(B8&lt;200000,80,100))))</x:f>
        <x:v>80</x:v>
      </x:c>
      <x:c r="I8" s="83" t="n">
        <x:v>85</x:v>
      </x:c>
      <x:c r="J8" s="83" t="n">
        <x:v>85</x:v>
      </x:c>
      <x:c r="K8" s="83" t="n">
        <x:v>50</x:v>
      </x:c>
      <x:c r="L8" s="83" t="n">
        <x:v>85</x:v>
      </x:c>
      <x:c r="M8" s="83" t="n">
        <x:f>ROUND((H8*Parametros_OPI!$B$4)+(I8*Parametros_OPI!$B$5)+(J8*Parametros_OPI!$B$6)+(K8*Parametros_OPI!$B$7)+(L8*Parametros_OPI!$B$8),1)</x:f>
        <x:v>78.3</x:v>
      </x:c>
      <x:c r="N8" s="69" t="str">
        <x:f>IF(AND(L8&gt;=100,B8&gt;=500000),"Legacy Anchor",IF(OR(M8&gt;=90,AND(L8&gt;=95,B8&gt;=150000)),"Legacy",IF(M8&gt;=70,"Prime",IF(M8&gt;=50,"Flow","Foundation"))))</x:f>
        <x:v>Prime</x:v>
      </x:c>
      <x:c r="O8" s="69" t="str">
        <x:f>IF(N8="Legacy Anchor","Cliente âncora",IF(N8="Legacy","Operação estratégica",IF(N8="Prime","Alta performance potencial",IF(N8="Flow","Evolução contínua","Estruturação operacional"))))</x:f>
        <x:v>Alta performance potencial</x:v>
      </x:c>
      <x:c r="P8" s="69" t="str">
        <x:v>K0</x:v>
      </x:c>
      <x:c r="Q8" s="102" t="n">
        <x:v>0</x:v>
      </x:c>
      <x:c r="R8" s="69" t="str">
        <x:f>IF(M8&gt;=85,"ICP A",IF(M8&gt;=65,"ICP B","ICP C"))</x:f>
        <x:v>ICP B</x:v>
      </x:c>
      <x:c r="S8" s="103" t="n">
        <x:f>ROUND(MAX(Parametros_OPI!$B$16,MIN(Parametros_OPI!$B$17,(M8/100*0.55)+(I8/100*0.20)+(J8/100*0.15)+(K8/100*0.10))),2)</x:f>
        <x:v>0.78</x:v>
      </x:c>
      <x:c r="T8" s="84" t="n">
        <x:f>C8*Parametros_OPI!$B$9+D8*Parametros_OPI!$B$10</x:f>
        <x:v>27720000</x:v>
      </x:c>
      <x:c r="U8" s="84" t="n">
        <x:f>ROUND(T8*S8,0)</x:f>
        <x:v>21621600</x:v>
      </x:c>
      <x:c r="V8" s="82" t="n">
        <x:f>ROUND((U8*Parametros_OPI!$B$15)*IF(N8="Legacy Anchor",2.5,IF(N8="Legacy",2,IF(N8="Prime",1.5,IF(N8="Flow",1.2,1)))),0)</x:f>
        <x:v>324324</x:v>
      </x:c>
      <x:c r="W8" s="84" t="n">
        <x:f>ROUND(B8*Parametros_OPI!$B$11*Parametros_OPI!$B$12*S8,0)</x:f>
        <x:v>1310400</x:v>
      </x:c>
      <x:c r="X8" s="84" t="n">
        <x:f>ROUND(B8*Parametros_OPI!$B$13*Parametros_OPI!$B$14*S8,0)</x:f>
        <x:v>382200</x:v>
      </x:c>
      <x:c r="Y8" s="84" t="n">
        <x:f>U8+W8+X8</x:f>
        <x:v>23314200</x:v>
      </x:c>
      <x:c r="Z8" s="69" t="str">
        <x:f>IF(AND(M8&gt;=85,S8&gt;=0.65),"A - Acelerar",IF(AND(M8&gt;=65,S8&gt;=0.45),"B - Desenvolver","C - Nutrir"))</x:f>
        <x:v>B - Desenvolver</x:v>
      </x:c>
      <x:c r="AA8" s="69" t="str">
        <x:v>Auras, Auba, Nerut, Mettus</x:v>
      </x:c>
      <x:c r="AB8" s="69" t="str">
        <x:v>OK</x:v>
      </x:c>
      <x:c r="AC8" s="69" t="str">
        <x:v>Pendente resultados Protocolo Auba (Fatec) e tentar validar proposta semi-comercial do Auras + Nerut. Continuidade com o Mettus</x:v>
      </x:c>
    </x:row>
    <x:row r="9">
      <x:c r="A9" s="69" t="str">
        <x:v>GRUPO COFCO</x:v>
      </x:c>
      <x:c r="B9" s="82" t="n">
        <x:v>90000</x:v>
      </x:c>
      <x:c r="C9" s="82" t="n">
        <x:v>13500</x:v>
      </x:c>
      <x:c r="D9" s="82" t="n">
        <x:v>76500</x:v>
      </x:c>
      <x:c r="E9" s="69" t="str">
        <x:v>Alta</x:v>
      </x:c>
      <x:c r="F9" s="69" t="str">
        <x:v>Protocolo com Tritter finalizado sem resultado positivo. Protocolo Auba concluído, produto não validado por questões técnicas da Usina. Protocolo Auras em andamento. Protocolo Bovettus em andamento.</x:v>
      </x:c>
      <x:c r="G9" s="69" t="str">
        <x:v>Tentar reverter exclusão do Auba da homologação recém-finalizada. Proposta comercial agressiva com Bovettus e Mettus (reais possibilidades de negócio aturais). Acompanhar de perto campo de Auras com Agrocomciência</x:v>
      </x:c>
      <x:c r="H9" s="83" t="n">
        <x:f>IF(B9&lt;20000,20,IF(B9&lt;50000,40,IF(B9&lt;100000,60,IF(B9&lt;200000,80,100))))</x:f>
        <x:v>60</x:v>
      </x:c>
      <x:c r="I9" s="83" t="n">
        <x:v>90</x:v>
      </x:c>
      <x:c r="J9" s="83" t="n">
        <x:v>85</x:v>
      </x:c>
      <x:c r="K9" s="83" t="n">
        <x:v>62</x:v>
      </x:c>
      <x:c r="L9" s="83" t="n">
        <x:v>85</x:v>
      </x:c>
      <x:c r="M9" s="83" t="n">
        <x:f>ROUND((H9*Parametros_OPI!$B$4)+(I9*Parametros_OPI!$B$5)+(J9*Parametros_OPI!$B$6)+(K9*Parametros_OPI!$B$7)+(L9*Parametros_OPI!$B$8),1)</x:f>
        <x:v>75.3</x:v>
      </x:c>
      <x:c r="N9" s="69" t="str">
        <x:f>IF(AND(L9&gt;=100,B9&gt;=500000),"Legacy Anchor",IF(OR(M9&gt;=90,AND(L9&gt;=95,B9&gt;=150000)),"Legacy",IF(M9&gt;=70,"Prime",IF(M9&gt;=50,"Flow","Foundation"))))</x:f>
        <x:v>Prime</x:v>
      </x:c>
      <x:c r="O9" s="69" t="str">
        <x:f>IF(N9="Legacy Anchor","Cliente âncora",IF(N9="Legacy","Operação estratégica",IF(N9="Prime","Alta performance potencial",IF(N9="Flow","Evolução contínua","Estruturação operacional"))))</x:f>
        <x:v>Alta performance potencial</x:v>
      </x:c>
      <x:c r="P9" s="69" t="str">
        <x:v>K0</x:v>
      </x:c>
      <x:c r="Q9" s="102" t="n">
        <x:v>0</x:v>
      </x:c>
      <x:c r="R9" s="69" t="str">
        <x:f>IF(M9&gt;=85,"ICP A",IF(M9&gt;=65,"ICP B","ICP C"))</x:f>
        <x:v>ICP B</x:v>
      </x:c>
      <x:c r="S9" s="103" t="n">
        <x:f>ROUND(MAX(Parametros_OPI!$B$16,MIN(Parametros_OPI!$B$17,(M9/100*0.55)+(I9/100*0.20)+(J9/100*0.15)+(K9/100*0.10))),2)</x:f>
        <x:v>0.78</x:v>
      </x:c>
      <x:c r="T9" s="84" t="n">
        <x:f>C9*Parametros_OPI!$B$9+D9*Parametros_OPI!$B$10</x:f>
        <x:v>17820000</x:v>
      </x:c>
      <x:c r="U9" s="84" t="n">
        <x:f>ROUND(T9*S9,0)</x:f>
        <x:v>13899600</x:v>
      </x:c>
      <x:c r="V9" s="82" t="n">
        <x:f>ROUND((U9*Parametros_OPI!$B$15)*IF(N9="Legacy Anchor",2.5,IF(N9="Legacy",2,IF(N9="Prime",1.5,IF(N9="Flow",1.2,1)))),0)</x:f>
        <x:v>208494</x:v>
      </x:c>
      <x:c r="W9" s="84" t="n">
        <x:f>ROUND(B9*Parametros_OPI!$B$11*Parametros_OPI!$B$12*S9,0)</x:f>
        <x:v>842400</x:v>
      </x:c>
      <x:c r="X9" s="84" t="n">
        <x:f>ROUND(B9*Parametros_OPI!$B$13*Parametros_OPI!$B$14*S9,0)</x:f>
        <x:v>245700</x:v>
      </x:c>
      <x:c r="Y9" s="84" t="n">
        <x:f>U9+W9+X9</x:f>
        <x:v>14987700</x:v>
      </x:c>
      <x:c r="Z9" s="69" t="str">
        <x:f>IF(AND(M9&gt;=85,S9&gt;=0.65),"A - Acelerar",IF(AND(M9&gt;=65,S9&gt;=0.45),"B - Desenvolver","C - Nutrir"))</x:f>
        <x:v>B - Desenvolver</x:v>
      </x:c>
      <x:c r="AA9" s="69" t="str">
        <x:v>Auras, Auba, Tritter, Bovettus, Mettus</x:v>
      </x:c>
      <x:c r="AB9" s="69" t="str">
        <x:v>OK</x:v>
      </x:c>
      <x:c r="AC9" s="69" t="str">
        <x:v>Tentar reverter exclusão do Auba da homologação recém-finalizada. Proposta comercial agressiva com Bovettus e Mettus (reais possibilidades de negócio aturais). Acompanhar de perto campo de Auras com Agrocomciência</x:v>
      </x:c>
    </x:row>
    <x:row r="10">
      <x:c r="A10" s="69" t="str">
        <x:v>GRUPO COLOMBO</x:v>
      </x:c>
      <x:c r="B10" s="82" t="n">
        <x:v>60000</x:v>
      </x:c>
      <x:c r="C10" s="82" t="n">
        <x:v>9000</x:v>
      </x:c>
      <x:c r="D10" s="82" t="n">
        <x:v>51000</x:v>
      </x:c>
      <x:c r="E10" s="69" t="str">
        <x:v>Média</x:v>
      </x:c>
      <x:c r="F10" s="69" t="str">
        <x:v>campos Auras colhidos com resultados não satisfatórios</x:v>
      </x:c>
      <x:c r="G10" s="69" t="str">
        <x:v>Estreitar relacionamento técnico e comercial com o cliente e mapear novas possibilidades em 2026. Refazer campos AGD. Copmpras recorrentes durante o ano.</x:v>
      </x:c>
      <x:c r="H10" s="83" t="n">
        <x:f>IF(B10&lt;20000,20,IF(B10&lt;50000,40,IF(B10&lt;100000,60,IF(B10&lt;200000,80,100))))</x:f>
        <x:v>60</x:v>
      </x:c>
      <x:c r="I10" s="83" t="n">
        <x:v>40</x:v>
      </x:c>
      <x:c r="J10" s="83" t="n">
        <x:v>70</x:v>
      </x:c>
      <x:c r="K10" s="83" t="n">
        <x:v>15</x:v>
      </x:c>
      <x:c r="L10" s="83" t="n">
        <x:v>60</x:v>
      </x:c>
      <x:c r="M10" s="83" t="n">
        <x:f>ROUND((H10*Parametros_OPI!$B$4)+(I10*Parametros_OPI!$B$5)+(J10*Parametros_OPI!$B$6)+(K10*Parametros_OPI!$B$7)+(L10*Parametros_OPI!$B$8),1)</x:f>
        <x:v>50.3</x:v>
      </x:c>
      <x:c r="N10" s="69" t="str">
        <x:f>IF(AND(L10&gt;=100,B10&gt;=500000),"Legacy Anchor",IF(OR(M10&gt;=90,AND(L10&gt;=95,B10&gt;=150000)),"Legacy",IF(M10&gt;=70,"Prime",IF(M10&gt;=50,"Flow","Foundation"))))</x:f>
        <x:v>Flow</x:v>
      </x:c>
      <x:c r="O10" s="69" t="str">
        <x:f>IF(N10="Legacy Anchor","Cliente âncora",IF(N10="Legacy","Operação estratégica",IF(N10="Prime","Alta performance potencial",IF(N10="Flow","Evolução contínua","Estruturação operacional"))))</x:f>
        <x:v>Evolução contínua</x:v>
      </x:c>
      <x:c r="P10" s="69" t="str">
        <x:v>K0</x:v>
      </x:c>
      <x:c r="Q10" s="102" t="n">
        <x:v>0</x:v>
      </x:c>
      <x:c r="R10" s="69" t="str">
        <x:f>IF(M10&gt;=85,"ICP A",IF(M10&gt;=65,"ICP B","ICP C"))</x:f>
        <x:v>ICP C</x:v>
      </x:c>
      <x:c r="S10" s="103" t="n">
        <x:f>ROUND(MAX(Parametros_OPI!$B$16,MIN(Parametros_OPI!$B$17,(M10/100*0.55)+(I10/100*0.20)+(J10/100*0.15)+(K10/100*0.10))),2)</x:f>
        <x:v>0.48</x:v>
      </x:c>
      <x:c r="T10" s="84" t="n">
        <x:f>C10*Parametros_OPI!$B$9+D10*Parametros_OPI!$B$10</x:f>
        <x:v>11880000</x:v>
      </x:c>
      <x:c r="U10" s="84" t="n">
        <x:f>ROUND(T10*S10,0)</x:f>
        <x:v>5702400</x:v>
      </x:c>
      <x:c r="V10" s="82" t="n">
        <x:f>ROUND((U10*Parametros_OPI!$B$15)*IF(N10="Legacy Anchor",2.5,IF(N10="Legacy",2,IF(N10="Prime",1.5,IF(N10="Flow",1.2,1)))),0)</x:f>
        <x:v>68429</x:v>
      </x:c>
      <x:c r="W10" s="84" t="n">
        <x:f>ROUND(B10*Parametros_OPI!$B$11*Parametros_OPI!$B$12*S10,0)</x:f>
        <x:v>345600</x:v>
      </x:c>
      <x:c r="X10" s="84" t="n">
        <x:f>ROUND(B10*Parametros_OPI!$B$13*Parametros_OPI!$B$14*S10,0)</x:f>
        <x:v>100800</x:v>
      </x:c>
      <x:c r="Y10" s="84" t="n">
        <x:f>U10+W10+X10</x:f>
        <x:v>6148800</x:v>
      </x:c>
      <x:c r="Z10" s="69" t="str">
        <x:f>IF(AND(M10&gt;=85,S10&gt;=0.65),"A - Acelerar",IF(AND(M10&gt;=65,S10&gt;=0.45),"B - Desenvolver","C - Nutrir"))</x:f>
        <x:v>C - Nutrir</x:v>
      </x:c>
      <x:c r="AA10" s="69" t="str">
        <x:v>Auras</x:v>
      </x:c>
      <x:c r="AB10" s="69" t="str">
        <x:v>OK</x:v>
      </x:c>
      <x:c r="AC10" s="69" t="str">
        <x:v>Estreitar relacionamento técnico e comercial com o cliente e mapear novas possibilidades em 2026. Refazer campos AGD. Copmpras recorrentes durante o ano.</x:v>
      </x:c>
    </x:row>
    <x:row r="11">
      <x:c r="A11" s="69" t="str">
        <x:v>GRUPO CORURIPE</x:v>
      </x:c>
      <x:c r="B11" s="82" t="n">
        <x:v>180000</x:v>
      </x:c>
      <x:c r="C11" s="82" t="n">
        <x:v>27000</x:v>
      </x:c>
      <x:c r="D11" s="82" t="n">
        <x:v>153000</x:v>
      </x:c>
      <x:c r="E11" s="69" t="str">
        <x:v>Alta</x:v>
      </x:c>
      <x:c r="F11" s="69" t="str">
        <x:v>Campo GD instalado. Área de planejamento pra receber irrigação. 20 ha de padrão NOOA para plantio com possibildiade de vitrine tecnologica</x:v>
      </x:c>
      <x:c r="G11" s="69" t="str">
        <x:v>Acompanhamento da área instalada com pacote Auras e Auba em corte de soqueira e estreitamento do relacionamento. Propor: Treinamento de pragas e doenças com Alexandre Sene e Alvaro Sanguino</x:v>
      </x:c>
      <x:c r="H11" s="83" t="n">
        <x:f>IF(B11&lt;20000,20,IF(B11&lt;50000,40,IF(B11&lt;100000,60,IF(B11&lt;200000,80,100))))</x:f>
        <x:v>80</x:v>
      </x:c>
      <x:c r="I11" s="83" t="n">
        <x:v>55</x:v>
      </x:c>
      <x:c r="J11" s="83" t="n">
        <x:v>70</x:v>
      </x:c>
      <x:c r="K11" s="83" t="n">
        <x:v>25</x:v>
      </x:c>
      <x:c r="L11" s="83" t="n">
        <x:v>95</x:v>
      </x:c>
      <x:c r="M11" s="83" t="n">
        <x:f>ROUND((H11*Parametros_OPI!$B$4)+(I11*Parametros_OPI!$B$5)+(J11*Parametros_OPI!$B$6)+(K11*Parametros_OPI!$B$7)+(L11*Parametros_OPI!$B$8),1)</x:f>
        <x:v>65</x:v>
      </x:c>
      <x:c r="N11" s="69" t="str">
        <x:f>IF(AND(L11&gt;=100,B11&gt;=500000),"Legacy Anchor",IF(OR(M11&gt;=90,AND(L11&gt;=95,B11&gt;=150000)),"Legacy",IF(M11&gt;=70,"Prime",IF(M11&gt;=50,"Flow","Foundation"))))</x:f>
        <x:v>Legacy</x:v>
      </x:c>
      <x:c r="O11" s="69" t="str">
        <x:f>IF(N11="Legacy Anchor","Cliente âncora",IF(N11="Legacy","Operação estratégica",IF(N11="Prime","Alta performance potencial",IF(N11="Flow","Evolução contínua","Estruturação operacional"))))</x:f>
        <x:v>Operação estratégica</x:v>
      </x:c>
      <x:c r="P11" s="69" t="str">
        <x:v>K0</x:v>
      </x:c>
      <x:c r="Q11" s="102" t="n">
        <x:v>0</x:v>
      </x:c>
      <x:c r="R11" s="69" t="str">
        <x:f>IF(M11&gt;=85,"ICP A",IF(M11&gt;=65,"ICP B","ICP C"))</x:f>
        <x:v>ICP B</x:v>
      </x:c>
      <x:c r="S11" s="103" t="n">
        <x:f>ROUND(MAX(Parametros_OPI!$B$16,MIN(Parametros_OPI!$B$17,(M11/100*0.55)+(I11/100*0.20)+(J11/100*0.15)+(K11/100*0.10))),2)</x:f>
        <x:v>0.6</x:v>
      </x:c>
      <x:c r="T11" s="84" t="n">
        <x:f>C11*Parametros_OPI!$B$9+D11*Parametros_OPI!$B$10</x:f>
        <x:v>35640000</x:v>
      </x:c>
      <x:c r="U11" s="84" t="n">
        <x:f>ROUND(T11*S11,0)</x:f>
        <x:v>21384000</x:v>
      </x:c>
      <x:c r="V11" s="82" t="n">
        <x:f>ROUND((U11*Parametros_OPI!$B$15)*IF(N11="Legacy Anchor",2.5,IF(N11="Legacy",2,IF(N11="Prime",1.5,IF(N11="Flow",1.2,1)))),0)</x:f>
        <x:v>427680</x:v>
      </x:c>
      <x:c r="W11" s="84" t="n">
        <x:f>ROUND(B11*Parametros_OPI!$B$11*Parametros_OPI!$B$12*S11,0)</x:f>
        <x:v>1296000</x:v>
      </x:c>
      <x:c r="X11" s="84" t="n">
        <x:f>ROUND(B11*Parametros_OPI!$B$13*Parametros_OPI!$B$14*S11,0)</x:f>
        <x:v>378000</x:v>
      </x:c>
      <x:c r="Y11" s="84" t="n">
        <x:f>U11+W11+X11</x:f>
        <x:v>23058000</x:v>
      </x:c>
      <x:c r="Z11" s="69" t="str">
        <x:f>IF(AND(M11&gt;=85,S11&gt;=0.65),"A - Acelerar",IF(AND(M11&gt;=65,S11&gt;=0.45),"B - Desenvolver","C - Nutrir"))</x:f>
        <x:v>B - Desenvolver</x:v>
      </x:c>
      <x:c r="AA11" s="69" t="str">
        <x:v>Auras, Auba</x:v>
      </x:c>
      <x:c r="AB11" s="69" t="str">
        <x:v>OK</x:v>
      </x:c>
      <x:c r="AC11" s="69" t="str">
        <x:v>Acompanhamento da área instalada com pacote Auras e Auba em corte de soqueira e estreitamento do relacionamento. Propor: Treinamento de pragas e doenças com Alexandre Sene e Alvaro Sanguino</x:v>
      </x:c>
    </x:row>
    <x:row r="12">
      <x:c r="A12" s="69" t="str">
        <x:v>GRUPO ITAJOBI</x:v>
      </x:c>
      <x:c r="B12" s="82" t="n">
        <x:v>20000</x:v>
      </x:c>
      <x:c r="C12" s="82" t="n">
        <x:v>3000</x:v>
      </x:c>
      <x:c r="D12" s="82" t="n">
        <x:v>17000</x:v>
      </x:c>
      <x:c r="E12" s="69" t="str">
        <x:v>Baixa</x:v>
      </x:c>
      <x:c r="F12" s="69" t="str">
        <x:v>campos desenvolvimento Auras e Auba finalizados</x:v>
      </x:c>
      <x:c r="G12" s="69" t="str">
        <x:v>Entender melhor como ficará a configuração de time do grupo e resgatar os trabalhos realizados a fim de dar continuidade em âmbito comercial</x:v>
      </x:c>
      <x:c r="H12" s="83" t="n">
        <x:f>IF(B12&lt;20000,20,IF(B12&lt;50000,40,IF(B12&lt;100000,60,IF(B12&lt;200000,80,100))))</x:f>
        <x:v>40</x:v>
      </x:c>
      <x:c r="I12" s="83" t="n">
        <x:v>65</x:v>
      </x:c>
      <x:c r="J12" s="83" t="n">
        <x:v>45</x:v>
      </x:c>
      <x:c r="K12" s="83" t="n">
        <x:v>25</x:v>
      </x:c>
      <x:c r="L12" s="83" t="n">
        <x:v>50</x:v>
      </x:c>
      <x:c r="M12" s="83" t="n">
        <x:f>ROUND((H12*Parametros_OPI!$B$4)+(I12*Parametros_OPI!$B$5)+(J12*Parametros_OPI!$B$6)+(K12*Parametros_OPI!$B$7)+(L12*Parametros_OPI!$B$8),1)</x:f>
        <x:v>46</x:v>
      </x:c>
      <x:c r="N12" s="69" t="str">
        <x:f>IF(AND(L12&gt;=100,B12&gt;=500000),"Legacy Anchor",IF(OR(M12&gt;=90,AND(L12&gt;=95,B12&gt;=150000)),"Legacy",IF(M12&gt;=70,"Prime",IF(M12&gt;=50,"Flow","Foundation"))))</x:f>
        <x:v>Foundation</x:v>
      </x:c>
      <x:c r="O12" s="69" t="str">
        <x:f>IF(N12="Legacy Anchor","Cliente âncora",IF(N12="Legacy","Operação estratégica",IF(N12="Prime","Alta performance potencial",IF(N12="Flow","Evolução contínua","Estruturação operacional"))))</x:f>
        <x:v>Estruturação operacional</x:v>
      </x:c>
      <x:c r="P12" s="69" t="str">
        <x:v>K0</x:v>
      </x:c>
      <x:c r="Q12" s="102" t="n">
        <x:v>0</x:v>
      </x:c>
      <x:c r="R12" s="69" t="str">
        <x:f>IF(M12&gt;=85,"ICP A",IF(M12&gt;=65,"ICP B","ICP C"))</x:f>
        <x:v>ICP C</x:v>
      </x:c>
      <x:c r="S12" s="103" t="n">
        <x:f>ROUND(MAX(Parametros_OPI!$B$16,MIN(Parametros_OPI!$B$17,(M12/100*0.55)+(I12/100*0.20)+(J12/100*0.15)+(K12/100*0.10))),2)</x:f>
        <x:v>0.48</x:v>
      </x:c>
      <x:c r="T12" s="84" t="n">
        <x:f>C12*Parametros_OPI!$B$9+D12*Parametros_OPI!$B$10</x:f>
        <x:v>3960000</x:v>
      </x:c>
      <x:c r="U12" s="84" t="n">
        <x:f>ROUND(T12*S12,0)</x:f>
        <x:v>1900800</x:v>
      </x:c>
      <x:c r="V12" s="82" t="n">
        <x:f>ROUND((U12*Parametros_OPI!$B$15)*IF(N12="Legacy Anchor",2.5,IF(N12="Legacy",2,IF(N12="Prime",1.5,IF(N12="Flow",1.2,1)))),0)</x:f>
        <x:v>19008</x:v>
      </x:c>
      <x:c r="W12" s="84" t="n">
        <x:f>ROUND(B12*Parametros_OPI!$B$11*Parametros_OPI!$B$12*S12,0)</x:f>
        <x:v>115200</x:v>
      </x:c>
      <x:c r="X12" s="84" t="n">
        <x:f>ROUND(B12*Parametros_OPI!$B$13*Parametros_OPI!$B$14*S12,0)</x:f>
        <x:v>33600</x:v>
      </x:c>
      <x:c r="Y12" s="84" t="n">
        <x:f>U12+W12+X12</x:f>
        <x:v>2049600</x:v>
      </x:c>
      <x:c r="Z12" s="69" t="str">
        <x:f>IF(AND(M12&gt;=85,S12&gt;=0.65),"A - Acelerar",IF(AND(M12&gt;=65,S12&gt;=0.45),"B - Desenvolver","C - Nutrir"))</x:f>
        <x:v>C - Nutrir</x:v>
      </x:c>
      <x:c r="AA12" s="69" t="str">
        <x:v>Auras, Auba</x:v>
      </x:c>
      <x:c r="AB12" s="69" t="str">
        <x:v>OK</x:v>
      </x:c>
      <x:c r="AC12" s="69" t="str">
        <x:v>Entender melhor como ficará a configuração de time do grupo e resgatar os trabalhos realizados a fim de dar continuidade em âmbito comercial</x:v>
      </x:c>
    </x:row>
    <x:row r="13">
      <x:c r="A13" s="69" t="str">
        <x:v>GRUPO PEDRA</x:v>
      </x:c>
      <x:c r="B13" s="82" t="n">
        <x:v>95000</x:v>
      </x:c>
      <x:c r="C13" s="82" t="n">
        <x:v>14250</x:v>
      </x:c>
      <x:c r="D13" s="82" t="n">
        <x:v>80750</x:v>
      </x:c>
      <x:c r="E13" s="69" t="str">
        <x:v>Alta</x:v>
      </x:c>
      <x:c r="F13" s="69" t="str">
        <x:v>áreas comerciais de Bovettus e Auras. Campo Artefato</x:v>
      </x:c>
      <x:c r="G13" s="69" t="str">
        <x:v>Ampliar relacionamento nas diversas esferas (técnica e suprimentos) visando participar das cotações. Reaproximar Ipê e fortalecer relacionamento com a Cedro. Proposta de pacote integrado para participar minimamente comercialmente</x:v>
      </x:c>
      <x:c r="H13" s="83" t="n">
        <x:f>IF(B13&lt;20000,20,IF(B13&lt;50000,40,IF(B13&lt;100000,60,IF(B13&lt;200000,80,100))))</x:f>
        <x:v>60</x:v>
      </x:c>
      <x:c r="I13" s="83" t="n">
        <x:v>40</x:v>
      </x:c>
      <x:c r="J13" s="83" t="n">
        <x:v>90</x:v>
      </x:c>
      <x:c r="K13" s="83" t="n">
        <x:v>38</x:v>
      </x:c>
      <x:c r="L13" s="83" t="n">
        <x:v>85</x:v>
      </x:c>
      <x:c r="M13" s="83" t="n">
        <x:f>ROUND((H13*Parametros_OPI!$B$4)+(I13*Parametros_OPI!$B$5)+(J13*Parametros_OPI!$B$6)+(K13*Parametros_OPI!$B$7)+(L13*Parametros_OPI!$B$8),1)</x:f>
        <x:v>60.2</x:v>
      </x:c>
      <x:c r="N13" s="69" t="str">
        <x:f>IF(AND(L13&gt;=100,B13&gt;=500000),"Legacy Anchor",IF(OR(M13&gt;=90,AND(L13&gt;=95,B13&gt;=150000)),"Legacy",IF(M13&gt;=70,"Prime",IF(M13&gt;=50,"Flow","Foundation"))))</x:f>
        <x:v>Flow</x:v>
      </x:c>
      <x:c r="O13" s="69" t="str">
        <x:f>IF(N13="Legacy Anchor","Cliente âncora",IF(N13="Legacy","Operação estratégica",IF(N13="Prime","Alta performance potencial",IF(N13="Flow","Evolução contínua","Estruturação operacional"))))</x:f>
        <x:v>Evolução contínua</x:v>
      </x:c>
      <x:c r="P13" s="69" t="str">
        <x:v>K0</x:v>
      </x:c>
      <x:c r="Q13" s="102" t="n">
        <x:v>0</x:v>
      </x:c>
      <x:c r="R13" s="69" t="str">
        <x:f>IF(M13&gt;=85,"ICP A",IF(M13&gt;=65,"ICP B","ICP C"))</x:f>
        <x:v>ICP C</x:v>
      </x:c>
      <x:c r="S13" s="103" t="n">
        <x:f>ROUND(MAX(Parametros_OPI!$B$16,MIN(Parametros_OPI!$B$17,(M13/100*0.55)+(I13/100*0.20)+(J13/100*0.15)+(K13/100*0.10))),2)</x:f>
        <x:v>0.58</x:v>
      </x:c>
      <x:c r="T13" s="84" t="n">
        <x:f>C13*Parametros_OPI!$B$9+D13*Parametros_OPI!$B$10</x:f>
        <x:v>18810000</x:v>
      </x:c>
      <x:c r="U13" s="84" t="n">
        <x:f>ROUND(T13*S13,0)</x:f>
        <x:v>10909800</x:v>
      </x:c>
      <x:c r="V13" s="82" t="n">
        <x:f>ROUND((U13*Parametros_OPI!$B$15)*IF(N13="Legacy Anchor",2.5,IF(N13="Legacy",2,IF(N13="Prime",1.5,IF(N13="Flow",1.2,1)))),0)</x:f>
        <x:v>130918</x:v>
      </x:c>
      <x:c r="W13" s="84" t="n">
        <x:f>ROUND(B13*Parametros_OPI!$B$11*Parametros_OPI!$B$12*S13,0)</x:f>
        <x:v>661200</x:v>
      </x:c>
      <x:c r="X13" s="84" t="n">
        <x:f>ROUND(B13*Parametros_OPI!$B$13*Parametros_OPI!$B$14*S13,0)</x:f>
        <x:v>192850</x:v>
      </x:c>
      <x:c r="Y13" s="84" t="n">
        <x:f>U13+W13+X13</x:f>
        <x:v>11763850</x:v>
      </x:c>
      <x:c r="Z13" s="69" t="str">
        <x:f>IF(AND(M13&gt;=85,S13&gt;=0.65),"A - Acelerar",IF(AND(M13&gt;=65,S13&gt;=0.45),"B - Desenvolver","C - Nutrir"))</x:f>
        <x:v>C - Nutrir</x:v>
      </x:c>
      <x:c r="AA13" s="69" t="str">
        <x:v>Auras, Artefato, Bovettus</x:v>
      </x:c>
      <x:c r="AB13" s="69" t="str">
        <x:v>OK</x:v>
      </x:c>
      <x:c r="AC13" s="69" t="str">
        <x:v>Ampliar relacionamento nas diversas esferas (técnica e suprimentos) visando participar das cotações. Reaproximar Ipê e fortalecer relacionamento com a Cedro. Proposta de pacote integrado para participar minimamente comercialmente</x:v>
      </x:c>
    </x:row>
    <x:row r="14">
      <x:c r="A14" s="69" t="str">
        <x:v>GRUPO SANTA TEREZINHA</x:v>
      </x:c>
      <x:c r="B14" s="82" t="n">
        <x:v>130000</x:v>
      </x:c>
      <x:c r="C14" s="82" t="n">
        <x:v>19500</x:v>
      </x:c>
      <x:c r="D14" s="82" t="n">
        <x:v>110500</x:v>
      </x:c>
      <x:c r="E14" s="69" t="str">
        <x:v>Baixa</x:v>
      </x:c>
      <x:c r="F14" s="69" t="str">
        <x:v>Acompanhamento e fechamento de áreas com Auras em plantio e soqueira. Buscar novas oportunidades junto ao grupo</x:v>
      </x:c>
      <x:c r="G14" s="69" t="str">
        <x:v>Áreas semi-comerciais dos ensaios conduzidos com o Auras e trazer a eficiência nematoides do ensaio com o Auba, através do Alexandre Sene</x:v>
      </x:c>
      <x:c r="H14" s="83" t="n">
        <x:f>IF(B14&lt;20000,20,IF(B14&lt;50000,40,IF(B14&lt;100000,60,IF(B14&lt;200000,80,100))))</x:f>
        <x:v>80</x:v>
      </x:c>
      <x:c r="I14" s="83" t="n">
        <x:v>40</x:v>
      </x:c>
      <x:c r="J14" s="83" t="n">
        <x:v>30</x:v>
      </x:c>
      <x:c r="K14" s="83" t="n">
        <x:v>25</x:v>
      </x:c>
      <x:c r="L14" s="83" t="n">
        <x:v>85</x:v>
      </x:c>
      <x:c r="M14" s="83" t="n">
        <x:f>ROUND((H14*Parametros_OPI!$B$4)+(I14*Parametros_OPI!$B$5)+(J14*Parametros_OPI!$B$6)+(K14*Parametros_OPI!$B$7)+(L14*Parametros_OPI!$B$8),1)</x:f>
        <x:v>52.3</x:v>
      </x:c>
      <x:c r="N14" s="69" t="str">
        <x:f>IF(AND(L14&gt;=100,B14&gt;=500000),"Legacy Anchor",IF(OR(M14&gt;=90,AND(L14&gt;=95,B14&gt;=150000)),"Legacy",IF(M14&gt;=70,"Prime",IF(M14&gt;=50,"Flow","Foundation"))))</x:f>
        <x:v>Flow</x:v>
      </x:c>
      <x:c r="O14" s="69" t="str">
        <x:f>IF(N14="Legacy Anchor","Cliente âncora",IF(N14="Legacy","Operação estratégica",IF(N14="Prime","Alta performance potencial",IF(N14="Flow","Evolução contínua","Estruturação operacional"))))</x:f>
        <x:v>Evolução contínua</x:v>
      </x:c>
      <x:c r="P14" s="69" t="str">
        <x:v>K0</x:v>
      </x:c>
      <x:c r="Q14" s="102" t="n">
        <x:v>0</x:v>
      </x:c>
      <x:c r="R14" s="69" t="str">
        <x:f>IF(M14&gt;=85,"ICP A",IF(M14&gt;=65,"ICP B","ICP C"))</x:f>
        <x:v>ICP C</x:v>
      </x:c>
      <x:c r="S14" s="103" t="n">
        <x:f>ROUND(MAX(Parametros_OPI!$B$16,MIN(Parametros_OPI!$B$17,(M14/100*0.55)+(I14/100*0.20)+(J14/100*0.15)+(K14/100*0.10))),2)</x:f>
        <x:v>0.44</x:v>
      </x:c>
      <x:c r="T14" s="84" t="n">
        <x:f>C14*Parametros_OPI!$B$9+D14*Parametros_OPI!$B$10</x:f>
        <x:v>25740000</x:v>
      </x:c>
      <x:c r="U14" s="84" t="n">
        <x:f>ROUND(T14*S14,0)</x:f>
        <x:v>11325600</x:v>
      </x:c>
      <x:c r="V14" s="82" t="n">
        <x:f>ROUND((U14*Parametros_OPI!$B$15)*IF(N14="Legacy Anchor",2.5,IF(N14="Legacy",2,IF(N14="Prime",1.5,IF(N14="Flow",1.2,1)))),0)</x:f>
        <x:v>135907</x:v>
      </x:c>
      <x:c r="W14" s="84" t="n">
        <x:f>ROUND(B14*Parametros_OPI!$B$11*Parametros_OPI!$B$12*S14,0)</x:f>
        <x:v>686400</x:v>
      </x:c>
      <x:c r="X14" s="84" t="n">
        <x:f>ROUND(B14*Parametros_OPI!$B$13*Parametros_OPI!$B$14*S14,0)</x:f>
        <x:v>200200</x:v>
      </x:c>
      <x:c r="Y14" s="84" t="n">
        <x:f>U14+W14+X14</x:f>
        <x:v>12212200</x:v>
      </x:c>
      <x:c r="Z14" s="69" t="str">
        <x:f>IF(AND(M14&gt;=85,S14&gt;=0.65),"A - Acelerar",IF(AND(M14&gt;=65,S14&gt;=0.45),"B - Desenvolver","C - Nutrir"))</x:f>
        <x:v>C - Nutrir</x:v>
      </x:c>
      <x:c r="AA14" s="69" t="str">
        <x:v>Auras, Auba</x:v>
      </x:c>
      <x:c r="AB14" s="69" t="str">
        <x:v>OK</x:v>
      </x:c>
      <x:c r="AC14" s="69" t="str">
        <x:v>Áreas semi-comerciais dos ensaios conduzidos com o Auras e trazer a eficiência nematoides do ensaio com o Auba, através do Alexandre Sene</x:v>
      </x:c>
    </x:row>
    <x:row r="15">
      <x:c r="A15" s="69" t="str">
        <x:v>GRUPO TEREOS</x:v>
      </x:c>
      <x:c r="B15" s="82" t="n">
        <x:v>190000</x:v>
      </x:c>
      <x:c r="C15" s="82" t="n">
        <x:v>28500</x:v>
      </x:c>
      <x:c r="D15" s="82" t="n">
        <x:v>161500</x:v>
      </x:c>
      <x:c r="E15" s="69" t="str">
        <x:v>Alta</x:v>
      </x:c>
      <x:c r="F15" s="69" t="str">
        <x:v>campo interno com Auras concluído, mas sem resultado compartilhado. Protocolo Auba em andamento.</x:v>
      </x:c>
      <x:c r="G15" s="69" t="str">
        <x:v>Fazer proposta de uso de Auras em todas as unidades em áreas semi-comerciais (com acompanhamento de consultor externo)</x:v>
      </x:c>
      <x:c r="H15" s="83" t="n">
        <x:f>IF(B15&lt;20000,20,IF(B15&lt;50000,40,IF(B15&lt;100000,60,IF(B15&lt;200000,80,100))))</x:f>
        <x:v>80</x:v>
      </x:c>
      <x:c r="I15" s="83" t="n">
        <x:v>65</x:v>
      </x:c>
      <x:c r="J15" s="83" t="n">
        <x:v>70</x:v>
      </x:c>
      <x:c r="K15" s="83" t="n">
        <x:v>25</x:v>
      </x:c>
      <x:c r="L15" s="83" t="n">
        <x:v>95</x:v>
      </x:c>
      <x:c r="M15" s="83" t="n">
        <x:f>ROUND((H15*Parametros_OPI!$B$4)+(I15*Parametros_OPI!$B$5)+(J15*Parametros_OPI!$B$6)+(K15*Parametros_OPI!$B$7)+(L15*Parametros_OPI!$B$8),1)</x:f>
        <x:v>67.5</x:v>
      </x:c>
      <x:c r="N15" s="69" t="str">
        <x:f>IF(AND(L15&gt;=100,B15&gt;=500000),"Legacy Anchor",IF(OR(M15&gt;=90,AND(L15&gt;=95,B15&gt;=150000)),"Legacy",IF(M15&gt;=70,"Prime",IF(M15&gt;=50,"Flow","Foundation"))))</x:f>
        <x:v>Legacy</x:v>
      </x:c>
      <x:c r="O15" s="69" t="str">
        <x:f>IF(N15="Legacy Anchor","Cliente âncora",IF(N15="Legacy","Operação estratégica",IF(N15="Prime","Alta performance potencial",IF(N15="Flow","Evolução contínua","Estruturação operacional"))))</x:f>
        <x:v>Operação estratégica</x:v>
      </x:c>
      <x:c r="P15" s="69" t="str">
        <x:v>K0</x:v>
      </x:c>
      <x:c r="Q15" s="102" t="n">
        <x:v>0</x:v>
      </x:c>
      <x:c r="R15" s="69" t="str">
        <x:f>IF(M15&gt;=85,"ICP A",IF(M15&gt;=65,"ICP B","ICP C"))</x:f>
        <x:v>ICP B</x:v>
      </x:c>
      <x:c r="S15" s="103" t="n">
        <x:f>ROUND(MAX(Parametros_OPI!$B$16,MIN(Parametros_OPI!$B$17,(M15/100*0.55)+(I15/100*0.20)+(J15/100*0.15)+(K15/100*0.10))),2)</x:f>
        <x:v>0.63</x:v>
      </x:c>
      <x:c r="T15" s="84" t="n">
        <x:f>C15*Parametros_OPI!$B$9+D15*Parametros_OPI!$B$10</x:f>
        <x:v>37620000</x:v>
      </x:c>
      <x:c r="U15" s="84" t="n">
        <x:f>ROUND(T15*S15,0)</x:f>
        <x:v>23700600</x:v>
      </x:c>
      <x:c r="V15" s="82" t="n">
        <x:f>ROUND((U15*Parametros_OPI!$B$15)*IF(N15="Legacy Anchor",2.5,IF(N15="Legacy",2,IF(N15="Prime",1.5,IF(N15="Flow",1.2,1)))),0)</x:f>
        <x:v>474012</x:v>
      </x:c>
      <x:c r="W15" s="84" t="n">
        <x:f>ROUND(B15*Parametros_OPI!$B$11*Parametros_OPI!$B$12*S15,0)</x:f>
        <x:v>1436400</x:v>
      </x:c>
      <x:c r="X15" s="84" t="n">
        <x:f>ROUND(B15*Parametros_OPI!$B$13*Parametros_OPI!$B$14*S15,0)</x:f>
        <x:v>418950</x:v>
      </x:c>
      <x:c r="Y15" s="84" t="n">
        <x:f>U15+W15+X15</x:f>
        <x:v>25555950</x:v>
      </x:c>
      <x:c r="Z15" s="69" t="str">
        <x:f>IF(AND(M15&gt;=85,S15&gt;=0.65),"A - Acelerar",IF(AND(M15&gt;=65,S15&gt;=0.45),"B - Desenvolver","C - Nutrir"))</x:f>
        <x:v>B - Desenvolver</x:v>
      </x:c>
      <x:c r="AA15" s="69" t="str">
        <x:v>Auras, Auba</x:v>
      </x:c>
      <x:c r="AB15" s="69" t="str">
        <x:v>OK</x:v>
      </x:c>
      <x:c r="AC15" s="69" t="str">
        <x:v>Fazer proposta de uso de Auras em todas as unidades em áreas semi-comerciais (com acompanhamento de consultor externo)</x:v>
      </x:c>
    </x:row>
    <x:row r="16">
      <x:c r="A16" s="69" t="str">
        <x:v>GRUPO VITERRA</x:v>
      </x:c>
      <x:c r="B16" s="82" t="n">
        <x:v>50000</x:v>
      </x:c>
      <x:c r="C16" s="82" t="n">
        <x:v>7500</x:v>
      </x:c>
      <x:c r="D16" s="82" t="n">
        <x:v>42500</x:v>
      </x:c>
      <x:c r="E16" s="69" t="str">
        <x:v>Alta</x:v>
      </x:c>
      <x:c r="F16" s="69" t="str">
        <x:v>Auras em áreas semi-comerciais. Bom alinhamento para aquisição de Auba. Campo a ser instalado Artefato</x:v>
      </x:c>
      <x:c r="G16" s="69" t="str">
        <x:v>Apresentar proposta comercial agressiva para fundo de Sulco com Auras e Nerut. Campo com Artefato. Conexão com a Fatec (trabalho Auba)</x:v>
      </x:c>
      <x:c r="H16" s="83" t="n">
        <x:f>IF(B16&lt;20000,20,IF(B16&lt;50000,40,IF(B16&lt;100000,60,IF(B16&lt;200000,80,100))))</x:f>
        <x:v>60</x:v>
      </x:c>
      <x:c r="I16" s="83" t="n">
        <x:v>55</x:v>
      </x:c>
      <x:c r="J16" s="83" t="n">
        <x:v>85</x:v>
      </x:c>
      <x:c r="K16" s="83" t="n">
        <x:v>50</x:v>
      </x:c>
      <x:c r="L16" s="83" t="n">
        <x:v>60</x:v>
      </x:c>
      <x:c r="M16" s="83" t="n">
        <x:f>ROUND((H16*Parametros_OPI!$B$4)+(I16*Parametros_OPI!$B$5)+(J16*Parametros_OPI!$B$6)+(K16*Parametros_OPI!$B$7)+(L16*Parametros_OPI!$B$8),1)</x:f>
        <x:v>62.3</x:v>
      </x:c>
      <x:c r="N16" s="69" t="str">
        <x:f>IF(AND(L16&gt;=100,B16&gt;=500000),"Legacy Anchor",IF(OR(M16&gt;=90,AND(L16&gt;=95,B16&gt;=150000)),"Legacy",IF(M16&gt;=70,"Prime",IF(M16&gt;=50,"Flow","Foundation"))))</x:f>
        <x:v>Flow</x:v>
      </x:c>
      <x:c r="O16" s="69" t="str">
        <x:f>IF(N16="Legacy Anchor","Cliente âncora",IF(N16="Legacy","Operação estratégica",IF(N16="Prime","Alta performance potencial",IF(N16="Flow","Evolução contínua","Estruturação operacional"))))</x:f>
        <x:v>Evolução contínua</x:v>
      </x:c>
      <x:c r="P16" s="69" t="str">
        <x:v>K0</x:v>
      </x:c>
      <x:c r="Q16" s="102" t="n">
        <x:v>0</x:v>
      </x:c>
      <x:c r="R16" s="69" t="str">
        <x:f>IF(M16&gt;=85,"ICP A",IF(M16&gt;=65,"ICP B","ICP C"))</x:f>
        <x:v>ICP C</x:v>
      </x:c>
      <x:c r="S16" s="103" t="n">
        <x:f>ROUND(MAX(Parametros_OPI!$B$16,MIN(Parametros_OPI!$B$17,(M16/100*0.55)+(I16/100*0.20)+(J16/100*0.15)+(K16/100*0.10))),2)</x:f>
        <x:v>0.63</x:v>
      </x:c>
      <x:c r="T16" s="84" t="n">
        <x:f>C16*Parametros_OPI!$B$9+D16*Parametros_OPI!$B$10</x:f>
        <x:v>9900000</x:v>
      </x:c>
      <x:c r="U16" s="84" t="n">
        <x:f>ROUND(T16*S16,0)</x:f>
        <x:v>6237000</x:v>
      </x:c>
      <x:c r="V16" s="82" t="n">
        <x:f>ROUND((U16*Parametros_OPI!$B$15)*IF(N16="Legacy Anchor",2.5,IF(N16="Legacy",2,IF(N16="Prime",1.5,IF(N16="Flow",1.2,1)))),0)</x:f>
        <x:v>74844</x:v>
      </x:c>
      <x:c r="W16" s="84" t="n">
        <x:f>ROUND(B16*Parametros_OPI!$B$11*Parametros_OPI!$B$12*S16,0)</x:f>
        <x:v>378000</x:v>
      </x:c>
      <x:c r="X16" s="84" t="n">
        <x:f>ROUND(B16*Parametros_OPI!$B$13*Parametros_OPI!$B$14*S16,0)</x:f>
        <x:v>110250</x:v>
      </x:c>
      <x:c r="Y16" s="84" t="n">
        <x:f>U16+W16+X16</x:f>
        <x:v>6725250</x:v>
      </x:c>
      <x:c r="Z16" s="69" t="str">
        <x:f>IF(AND(M16&gt;=85,S16&gt;=0.65),"A - Acelerar",IF(AND(M16&gt;=65,S16&gt;=0.45),"B - Desenvolver","C - Nutrir"))</x:f>
        <x:v>C - Nutrir</x:v>
      </x:c>
      <x:c r="AA16" s="69" t="str">
        <x:v>Auras, Auba, Artefato, Nerut</x:v>
      </x:c>
      <x:c r="AB16" s="69" t="str">
        <x:v>OK</x:v>
      </x:c>
      <x:c r="AC16" s="69" t="str">
        <x:v>Apresentar proposta comercial agressiva para fundo de Sulco com Auras e Nerut. Campo com Artefato. Conexão com a Fatec (trabalho Auba)</x:v>
      </x:c>
    </x:row>
    <x:row r="17">
      <x:c r="A17" s="69" t="str">
        <x:v>USINA ALTA MOGIANA</x:v>
      </x:c>
      <x:c r="B17" s="82" t="n">
        <x:v>70000</x:v>
      </x:c>
      <x:c r="C17" s="82" t="n">
        <x:v>10500</x:v>
      </x:c>
      <x:c r="D17" s="82" t="n">
        <x:v>59500</x:v>
      </x:c>
      <x:c r="E17" s="69" t="str">
        <x:v>Alta</x:v>
      </x:c>
      <x:c r="F17" s="69" t="str">
        <x:v>área semi-comercial de Auras em plantio e soqueira. Campo Artefato</x:v>
      </x:c>
      <x:c r="G17" s="69" t="str">
        <x:v>Área soqueira colhida com resultados positivos. Movimento de abrir oportunidades com Nerut junto ao Auras e Artefato.</x:v>
      </x:c>
      <x:c r="H17" s="83" t="n">
        <x:f>IF(B17&lt;20000,20,IF(B17&lt;50000,40,IF(B17&lt;100000,60,IF(B17&lt;200000,80,100))))</x:f>
        <x:v>60</x:v>
      </x:c>
      <x:c r="I17" s="83" t="n">
        <x:v>90</x:v>
      </x:c>
      <x:c r="J17" s="83" t="n">
        <x:v>85</x:v>
      </x:c>
      <x:c r="K17" s="83" t="n">
        <x:v>38</x:v>
      </x:c>
      <x:c r="L17" s="83" t="n">
        <x:v>70</x:v>
      </x:c>
      <x:c r="M17" s="83" t="n">
        <x:f>ROUND((H17*Parametros_OPI!$B$4)+(I17*Parametros_OPI!$B$5)+(J17*Parametros_OPI!$B$6)+(K17*Parametros_OPI!$B$7)+(L17*Parametros_OPI!$B$8),1)</x:f>
        <x:v>70.2</x:v>
      </x:c>
      <x:c r="N17" s="69" t="str">
        <x:f>IF(AND(L17&gt;=100,B17&gt;=500000),"Legacy Anchor",IF(OR(M17&gt;=90,AND(L17&gt;=95,B17&gt;=150000)),"Legacy",IF(M17&gt;=70,"Prime",IF(M17&gt;=50,"Flow","Foundation"))))</x:f>
        <x:v>Prime</x:v>
      </x:c>
      <x:c r="O17" s="69" t="str">
        <x:f>IF(N17="Legacy Anchor","Cliente âncora",IF(N17="Legacy","Operação estratégica",IF(N17="Prime","Alta performance potencial",IF(N17="Flow","Evolução contínua","Estruturação operacional"))))</x:f>
        <x:v>Alta performance potencial</x:v>
      </x:c>
      <x:c r="P17" s="69" t="str">
        <x:v>K0</x:v>
      </x:c>
      <x:c r="Q17" s="102" t="n">
        <x:v>0</x:v>
      </x:c>
      <x:c r="R17" s="69" t="str">
        <x:f>IF(M17&gt;=85,"ICP A",IF(M17&gt;=65,"ICP B","ICP C"))</x:f>
        <x:v>ICP B</x:v>
      </x:c>
      <x:c r="S17" s="103" t="n">
        <x:f>ROUND(MAX(Parametros_OPI!$B$16,MIN(Parametros_OPI!$B$17,(M17/100*0.55)+(I17/100*0.20)+(J17/100*0.15)+(K17/100*0.10))),2)</x:f>
        <x:v>0.73</x:v>
      </x:c>
      <x:c r="T17" s="84" t="n">
        <x:f>C17*Parametros_OPI!$B$9+D17*Parametros_OPI!$B$10</x:f>
        <x:v>13860000</x:v>
      </x:c>
      <x:c r="U17" s="84" t="n">
        <x:f>ROUND(T17*S17,0)</x:f>
        <x:v>10117800</x:v>
      </x:c>
      <x:c r="V17" s="82" t="n">
        <x:f>ROUND((U17*Parametros_OPI!$B$15)*IF(N17="Legacy Anchor",2.5,IF(N17="Legacy",2,IF(N17="Prime",1.5,IF(N17="Flow",1.2,1)))),0)</x:f>
        <x:v>151767</x:v>
      </x:c>
      <x:c r="W17" s="84" t="n">
        <x:f>ROUND(B17*Parametros_OPI!$B$11*Parametros_OPI!$B$12*S17,0)</x:f>
        <x:v>613200</x:v>
      </x:c>
      <x:c r="X17" s="84" t="n">
        <x:f>ROUND(B17*Parametros_OPI!$B$13*Parametros_OPI!$B$14*S17,0)</x:f>
        <x:v>178850</x:v>
      </x:c>
      <x:c r="Y17" s="84" t="n">
        <x:f>U17+W17+X17</x:f>
        <x:v>10909850</x:v>
      </x:c>
      <x:c r="Z17" s="69" t="str">
        <x:f>IF(AND(M17&gt;=85,S17&gt;=0.65),"A - Acelerar",IF(AND(M17&gt;=65,S17&gt;=0.45),"B - Desenvolver","C - Nutrir"))</x:f>
        <x:v>B - Desenvolver</x:v>
      </x:c>
      <x:c r="AA17" s="69" t="str">
        <x:v>Auras, Artefato, Nerut</x:v>
      </x:c>
      <x:c r="AB17" s="69" t="str">
        <x:v>OK</x:v>
      </x:c>
      <x:c r="AC17" s="69" t="str">
        <x:v>Área soqueira colhida com resultados positivos. Movimento de abrir oportunidades com Nerut junto ao Auras e Artefato.</x:v>
      </x:c>
    </x:row>
    <x:row r="18">
      <x:c r="A18" s="69" t="str">
        <x:v>USINA BATATAIS</x:v>
      </x:c>
      <x:c r="B18" s="82" t="n">
        <x:v>67000</x:v>
      </x:c>
      <x:c r="C18" s="82" t="n">
        <x:v>10050</x:v>
      </x:c>
      <x:c r="D18" s="82" t="n">
        <x:v>56950</x:v>
      </x:c>
      <x:c r="E18" s="69" t="str">
        <x:v>Alta</x:v>
      </x:c>
      <x:c r="F18" s="69" t="str">
        <x:v>Mudanças na gerência. Novo relacionamento</x:v>
      </x:c>
      <x:c r="G18" s="69" t="str">
        <x:v>Entender como está o andamento dos protocolos instalados, na gestão do Edson</x:v>
      </x:c>
      <x:c r="H18" s="83" t="n">
        <x:f>IF(B18&lt;20000,20,IF(B18&lt;50000,40,IF(B18&lt;100000,60,IF(B18&lt;200000,80,100))))</x:f>
        <x:v>60</x:v>
      </x:c>
      <x:c r="I18" s="83" t="n">
        <x:v>55</x:v>
      </x:c>
      <x:c r="J18" s="83" t="n">
        <x:v>70</x:v>
      </x:c>
      <x:c r="K18" s="83" t="n">
        <x:v>15</x:v>
      </x:c>
      <x:c r="L18" s="83" t="n">
        <x:v>60</x:v>
      </x:c>
      <x:c r="M18" s="83" t="n">
        <x:f>ROUND((H18*Parametros_OPI!$B$4)+(I18*Parametros_OPI!$B$5)+(J18*Parametros_OPI!$B$6)+(K18*Parametros_OPI!$B$7)+(L18*Parametros_OPI!$B$8),1)</x:f>
        <x:v>54</x:v>
      </x:c>
      <x:c r="N18" s="69" t="str">
        <x:f>IF(AND(L18&gt;=100,B18&gt;=500000),"Legacy Anchor",IF(OR(M18&gt;=90,AND(L18&gt;=95,B18&gt;=150000)),"Legacy",IF(M18&gt;=70,"Prime",IF(M18&gt;=50,"Flow","Foundation"))))</x:f>
        <x:v>Flow</x:v>
      </x:c>
      <x:c r="O18" s="69" t="str">
        <x:f>IF(N18="Legacy Anchor","Cliente âncora",IF(N18="Legacy","Operação estratégica",IF(N18="Prime","Alta performance potencial",IF(N18="Flow","Evolução contínua","Estruturação operacional"))))</x:f>
        <x:v>Evolução contínua</x:v>
      </x:c>
      <x:c r="P18" s="69" t="str">
        <x:v>K0</x:v>
      </x:c>
      <x:c r="Q18" s="102" t="n">
        <x:v>0</x:v>
      </x:c>
      <x:c r="R18" s="69" t="str">
        <x:f>IF(M18&gt;=85,"ICP A",IF(M18&gt;=65,"ICP B","ICP C"))</x:f>
        <x:v>ICP C</x:v>
      </x:c>
      <x:c r="S18" s="103" t="n">
        <x:f>ROUND(MAX(Parametros_OPI!$B$16,MIN(Parametros_OPI!$B$17,(M18/100*0.55)+(I18/100*0.20)+(J18/100*0.15)+(K18/100*0.10))),2)</x:f>
        <x:v>0.53</x:v>
      </x:c>
      <x:c r="T18" s="84" t="n">
        <x:f>C18*Parametros_OPI!$B$9+D18*Parametros_OPI!$B$10</x:f>
        <x:v>13266000</x:v>
      </x:c>
      <x:c r="U18" s="84" t="n">
        <x:f>ROUND(T18*S18,0)</x:f>
        <x:v>7030980</x:v>
      </x:c>
      <x:c r="V18" s="82" t="n">
        <x:f>ROUND((U18*Parametros_OPI!$B$15)*IF(N18="Legacy Anchor",2.5,IF(N18="Legacy",2,IF(N18="Prime",1.5,IF(N18="Flow",1.2,1)))),0)</x:f>
        <x:v>84372</x:v>
      </x:c>
      <x:c r="W18" s="84" t="n">
        <x:f>ROUND(B18*Parametros_OPI!$B$11*Parametros_OPI!$B$12*S18,0)</x:f>
        <x:v>426120</x:v>
      </x:c>
      <x:c r="X18" s="84" t="n">
        <x:f>ROUND(B18*Parametros_OPI!$B$13*Parametros_OPI!$B$14*S18,0)</x:f>
        <x:v>124285</x:v>
      </x:c>
      <x:c r="Y18" s="84" t="n">
        <x:f>U18+W18+X18</x:f>
        <x:v>7581385</x:v>
      </x:c>
      <x:c r="Z18" s="69" t="str">
        <x:f>IF(AND(M18&gt;=85,S18&gt;=0.65),"A - Acelerar",IF(AND(M18&gt;=65,S18&gt;=0.45),"B - Desenvolver","C - Nutrir"))</x:f>
        <x:v>C - Nutrir</x:v>
      </x:c>
      <x:c r="AA18" s="69" t="str"/>
      <x:c r="AB18" s="69" t="str">
        <x:v>OK</x:v>
      </x:c>
      <x:c r="AC18" s="69" t="str">
        <x:v>Entender como está o andamento dos protocolos instalados, na gestão do Edson</x:v>
      </x:c>
    </x:row>
    <x:row r="19">
      <x:c r="A19" s="69" t="str">
        <x:v>USINA BEVAP</x:v>
      </x:c>
      <x:c r="B19" s="82" t="n">
        <x:v>32000</x:v>
      </x:c>
      <x:c r="C19" s="82" t="n">
        <x:v>4800</x:v>
      </x:c>
      <x:c r="D19" s="82" t="n">
        <x:v>27200</x:v>
      </x:c>
      <x:c r="E19" s="69" t="str">
        <x:v>Baixa</x:v>
      </x:c>
      <x:c r="F19" s="69" t="str">
        <x:v>em prospecção inicial</x:v>
      </x:c>
      <x:c r="G19" s="69" t="str">
        <x:v>Entender as possibilidades de manejo</x:v>
      </x:c>
      <x:c r="H19" s="83" t="n">
        <x:f>IF(B19&lt;20000,20,IF(B19&lt;50000,40,IF(B19&lt;100000,60,IF(B19&lt;200000,80,100))))</x:f>
        <x:v>40</x:v>
      </x:c>
      <x:c r="I19" s="83" t="n">
        <x:v>20</x:v>
      </x:c>
      <x:c r="J19" s="83" t="n">
        <x:v>30</x:v>
      </x:c>
      <x:c r="K19" s="83" t="n">
        <x:v>15</x:v>
      </x:c>
      <x:c r="L19" s="83" t="n">
        <x:v>50</x:v>
      </x:c>
      <x:c r="M19" s="83" t="n">
        <x:f>ROUND((H19*Parametros_OPI!$B$4)+(I19*Parametros_OPI!$B$5)+(J19*Parametros_OPI!$B$6)+(K19*Parametros_OPI!$B$7)+(L19*Parametros_OPI!$B$8),1)</x:f>
        <x:v>30.3</x:v>
      </x:c>
      <x:c r="N19" s="69" t="str">
        <x:f>IF(AND(L19&gt;=100,B19&gt;=500000),"Legacy Anchor",IF(OR(M19&gt;=90,AND(L19&gt;=95,B19&gt;=150000)),"Legacy",IF(M19&gt;=70,"Prime",IF(M19&gt;=50,"Flow","Foundation"))))</x:f>
        <x:v>Foundation</x:v>
      </x:c>
      <x:c r="O19" s="69" t="str">
        <x:f>IF(N19="Legacy Anchor","Cliente âncora",IF(N19="Legacy","Operação estratégica",IF(N19="Prime","Alta performance potencial",IF(N19="Flow","Evolução contínua","Estruturação operacional"))))</x:f>
        <x:v>Estruturação operacional</x:v>
      </x:c>
      <x:c r="P19" s="69" t="str">
        <x:v>K0</x:v>
      </x:c>
      <x:c r="Q19" s="102" t="n">
        <x:v>0</x:v>
      </x:c>
      <x:c r="R19" s="69" t="str">
        <x:f>IF(M19&gt;=85,"ICP A",IF(M19&gt;=65,"ICP B","ICP C"))</x:f>
        <x:v>ICP C</x:v>
      </x:c>
      <x:c r="S19" s="103" t="n">
        <x:f>ROUND(MAX(Parametros_OPI!$B$16,MIN(Parametros_OPI!$B$17,(M19/100*0.55)+(I19/100*0.20)+(J19/100*0.15)+(K19/100*0.10))),2)</x:f>
        <x:v>0.27</x:v>
      </x:c>
      <x:c r="T19" s="84" t="n">
        <x:f>C19*Parametros_OPI!$B$9+D19*Parametros_OPI!$B$10</x:f>
        <x:v>6336000</x:v>
      </x:c>
      <x:c r="U19" s="84" t="n">
        <x:f>ROUND(T19*S19,0)</x:f>
        <x:v>1710720</x:v>
      </x:c>
      <x:c r="V19" s="82" t="n">
        <x:f>ROUND((U19*Parametros_OPI!$B$15)*IF(N19="Legacy Anchor",2.5,IF(N19="Legacy",2,IF(N19="Prime",1.5,IF(N19="Flow",1.2,1)))),0)</x:f>
        <x:v>17107</x:v>
      </x:c>
      <x:c r="W19" s="84" t="n">
        <x:f>ROUND(B19*Parametros_OPI!$B$11*Parametros_OPI!$B$12*S19,0)</x:f>
        <x:v>103680</x:v>
      </x:c>
      <x:c r="X19" s="84" t="n">
        <x:f>ROUND(B19*Parametros_OPI!$B$13*Parametros_OPI!$B$14*S19,0)</x:f>
        <x:v>30240</x:v>
      </x:c>
      <x:c r="Y19" s="84" t="n">
        <x:f>U19+W19+X19</x:f>
        <x:v>1844640</x:v>
      </x:c>
      <x:c r="Z19" s="69" t="str">
        <x:f>IF(AND(M19&gt;=85,S19&gt;=0.65),"A - Acelerar",IF(AND(M19&gt;=65,S19&gt;=0.45),"B - Desenvolver","C - Nutrir"))</x:f>
        <x:v>C - Nutrir</x:v>
      </x:c>
      <x:c r="AA19" s="69" t="str"/>
      <x:c r="AB19" s="69" t="str">
        <x:v>OK</x:v>
      </x:c>
      <x:c r="AC19" s="69" t="str">
        <x:v>Entender as possibilidades de manejo</x:v>
      </x:c>
    </x:row>
    <x:row r="20">
      <x:c r="A20" s="69" t="str">
        <x:v>USINA BRANCO PERES</x:v>
      </x:c>
      <x:c r="B20" s="82" t="n">
        <x:v>30000</x:v>
      </x:c>
      <x:c r="C20" s="82" t="n">
        <x:v>4500</x:v>
      </x:c>
      <x:c r="D20" s="82" t="n">
        <x:v>25500</x:v>
      </x:c>
      <x:c r="E20" s="69" t="str">
        <x:v>Alta</x:v>
      </x:c>
      <x:c r="F20" s="69" t="str">
        <x:v>área semi-comercial Auras e Auba (plantio)</x:v>
      </x:c>
      <x:c r="G20" s="69" t="str">
        <x:v>Resultados muito bons nos acompanhamentos de cana planta e soca, portifólio validado e proposta de valor entendida e valorizada pelo gerente agrícola. Próximo passo seria elaborar uma boa proposta comercial, de preferência envolvendo  o apoio de Consultores externos (Nematicida). Proposta para soja Auba + Artefato</x:v>
      </x:c>
      <x:c r="H20" s="83" t="n">
        <x:f>IF(B20&lt;20000,20,IF(B20&lt;50000,40,IF(B20&lt;100000,60,IF(B20&lt;200000,80,100))))</x:f>
        <x:v>40</x:v>
      </x:c>
      <x:c r="I20" s="83" t="n">
        <x:v>90</x:v>
      </x:c>
      <x:c r="J20" s="83" t="n">
        <x:v>85</x:v>
      </x:c>
      <x:c r="K20" s="83" t="n">
        <x:v>48</x:v>
      </x:c>
      <x:c r="L20" s="83" t="n">
        <x:v>50</x:v>
      </x:c>
      <x:c r="M20" s="83" t="n">
        <x:f>ROUND((H20*Parametros_OPI!$B$4)+(I20*Parametros_OPI!$B$5)+(J20*Parametros_OPI!$B$6)+(K20*Parametros_OPI!$B$7)+(L20*Parametros_OPI!$B$8),1)</x:f>
        <x:v>63.7</x:v>
      </x:c>
      <x:c r="N20" s="69" t="str">
        <x:f>IF(AND(L20&gt;=100,B20&gt;=500000),"Legacy Anchor",IF(OR(M20&gt;=90,AND(L20&gt;=95,B20&gt;=150000)),"Legacy",IF(M20&gt;=70,"Prime",IF(M20&gt;=50,"Flow","Foundation"))))</x:f>
        <x:v>Flow</x:v>
      </x:c>
      <x:c r="O20" s="69" t="str">
        <x:f>IF(N20="Legacy Anchor","Cliente âncora",IF(N20="Legacy","Operação estratégica",IF(N20="Prime","Alta performance potencial",IF(N20="Flow","Evolução contínua","Estruturação operacional"))))</x:f>
        <x:v>Evolução contínua</x:v>
      </x:c>
      <x:c r="P20" s="69" t="str">
        <x:v>K0</x:v>
      </x:c>
      <x:c r="Q20" s="102" t="n">
        <x:v>0</x:v>
      </x:c>
      <x:c r="R20" s="69" t="str">
        <x:f>IF(M20&gt;=85,"ICP A",IF(M20&gt;=65,"ICP B","ICP C"))</x:f>
        <x:v>ICP C</x:v>
      </x:c>
      <x:c r="S20" s="103" t="n">
        <x:f>ROUND(MAX(Parametros_OPI!$B$16,MIN(Parametros_OPI!$B$17,(M20/100*0.55)+(I20/100*0.20)+(J20/100*0.15)+(K20/100*0.10))),2)</x:f>
        <x:v>0.71</x:v>
      </x:c>
      <x:c r="T20" s="84" t="n">
        <x:f>C20*Parametros_OPI!$B$9+D20*Parametros_OPI!$B$10</x:f>
        <x:v>5940000</x:v>
      </x:c>
      <x:c r="U20" s="84" t="n">
        <x:f>ROUND(T20*S20,0)</x:f>
        <x:v>4217400</x:v>
      </x:c>
      <x:c r="V20" s="82" t="n">
        <x:f>ROUND((U20*Parametros_OPI!$B$15)*IF(N20="Legacy Anchor",2.5,IF(N20="Legacy",2,IF(N20="Prime",1.5,IF(N20="Flow",1.2,1)))),0)</x:f>
        <x:v>50609</x:v>
      </x:c>
      <x:c r="W20" s="84" t="n">
        <x:f>ROUND(B20*Parametros_OPI!$B$11*Parametros_OPI!$B$12*S20,0)</x:f>
        <x:v>255600</x:v>
      </x:c>
      <x:c r="X20" s="84" t="n">
        <x:f>ROUND(B20*Parametros_OPI!$B$13*Parametros_OPI!$B$14*S20,0)</x:f>
        <x:v>74550</x:v>
      </x:c>
      <x:c r="Y20" s="84" t="n">
        <x:f>U20+W20+X20</x:f>
        <x:v>4547550</x:v>
      </x:c>
      <x:c r="Z20" s="69" t="str">
        <x:f>IF(AND(M20&gt;=85,S20&gt;=0.65),"A - Acelerar",IF(AND(M20&gt;=65,S20&gt;=0.45),"B - Desenvolver","C - Nutrir"))</x:f>
        <x:v>C - Nutrir</x:v>
      </x:c>
      <x:c r="AA20" s="69" t="str">
        <x:v>Auras, Auba, Artefato, Nematicidas</x:v>
      </x:c>
      <x:c r="AB20" s="69" t="str">
        <x:v>OK</x:v>
      </x:c>
      <x:c r="AC20" s="69" t="str">
        <x:v>Resultados muito bons nos acompanhamentos de cana planta e soca, portifólio validado e proposta de valor entendida e valorizada pelo gerente agrícola. Próximo passo seria elaborar uma boa proposta comercial, de preferência envolvendo  o apoio de Consultores externos (Nematicida). Proposta para soja Auba + Artefato</x:v>
      </x:c>
    </x:row>
    <x:row r="21">
      <x:c r="A21" s="69" t="str">
        <x:v>USINA CAFEALCOOL</x:v>
      </x:c>
      <x:c r="B21" s="82" t="n">
        <x:v>20000</x:v>
      </x:c>
      <x:c r="C21" s="82" t="n">
        <x:v>3000</x:v>
      </x:c>
      <x:c r="D21" s="82" t="n">
        <x:v>17000</x:v>
      </x:c>
      <x:c r="E21" s="69" t="str">
        <x:v>Média</x:v>
      </x:c>
      <x:c r="F21" s="69" t="str">
        <x:v>área semi-comercial Auras e campo de Auba</x:v>
      </x:c>
      <x:c r="G21" s="69" t="str">
        <x:v>Reestabelecer vínculo, cliente fidelizado Canavitta. Restringiu o acesso após rompimento com o Agente</x:v>
      </x:c>
      <x:c r="H21" s="83" t="n">
        <x:f>IF(B21&lt;20000,20,IF(B21&lt;50000,40,IF(B21&lt;100000,60,IF(B21&lt;200000,80,100))))</x:f>
        <x:v>40</x:v>
      </x:c>
      <x:c r="I21" s="83" t="n">
        <x:v>40</x:v>
      </x:c>
      <x:c r="J21" s="83" t="n">
        <x:v>45</x:v>
      </x:c>
      <x:c r="K21" s="83" t="n">
        <x:v>25</x:v>
      </x:c>
      <x:c r="L21" s="83" t="n">
        <x:v>50</x:v>
      </x:c>
      <x:c r="M21" s="83" t="n">
        <x:f>ROUND((H21*Parametros_OPI!$B$4)+(I21*Parametros_OPI!$B$5)+(J21*Parametros_OPI!$B$6)+(K21*Parametros_OPI!$B$7)+(L21*Parametros_OPI!$B$8),1)</x:f>
        <x:v>39.8</x:v>
      </x:c>
      <x:c r="N21" s="69" t="str">
        <x:f>IF(AND(L21&gt;=100,B21&gt;=500000),"Legacy Anchor",IF(OR(M21&gt;=90,AND(L21&gt;=95,B21&gt;=150000)),"Legacy",IF(M21&gt;=70,"Prime",IF(M21&gt;=50,"Flow","Foundation"))))</x:f>
        <x:v>Foundation</x:v>
      </x:c>
      <x:c r="O21" s="69" t="str">
        <x:f>IF(N21="Legacy Anchor","Cliente âncora",IF(N21="Legacy","Operação estratégica",IF(N21="Prime","Alta performance potencial",IF(N21="Flow","Evolução contínua","Estruturação operacional"))))</x:f>
        <x:v>Estruturação operacional</x:v>
      </x:c>
      <x:c r="P21" s="69" t="str">
        <x:v>K0</x:v>
      </x:c>
      <x:c r="Q21" s="102" t="n">
        <x:v>0</x:v>
      </x:c>
      <x:c r="R21" s="69" t="str">
        <x:f>IF(M21&gt;=85,"ICP A",IF(M21&gt;=65,"ICP B","ICP C"))</x:f>
        <x:v>ICP C</x:v>
      </x:c>
      <x:c r="S21" s="103" t="n">
        <x:f>ROUND(MAX(Parametros_OPI!$B$16,MIN(Parametros_OPI!$B$17,(M21/100*0.55)+(I21/100*0.20)+(J21/100*0.15)+(K21/100*0.10))),2)</x:f>
        <x:v>0.39</x:v>
      </x:c>
      <x:c r="T21" s="84" t="n">
        <x:f>C21*Parametros_OPI!$B$9+D21*Parametros_OPI!$B$10</x:f>
        <x:v>3960000</x:v>
      </x:c>
      <x:c r="U21" s="84" t="n">
        <x:f>ROUND(T21*S21,0)</x:f>
        <x:v>1544400</x:v>
      </x:c>
      <x:c r="V21" s="82" t="n">
        <x:f>ROUND((U21*Parametros_OPI!$B$15)*IF(N21="Legacy Anchor",2.5,IF(N21="Legacy",2,IF(N21="Prime",1.5,IF(N21="Flow",1.2,1)))),0)</x:f>
        <x:v>15444</x:v>
      </x:c>
      <x:c r="W21" s="84" t="n">
        <x:f>ROUND(B21*Parametros_OPI!$B$11*Parametros_OPI!$B$12*S21,0)</x:f>
        <x:v>93600</x:v>
      </x:c>
      <x:c r="X21" s="84" t="n">
        <x:f>ROUND(B21*Parametros_OPI!$B$13*Parametros_OPI!$B$14*S21,0)</x:f>
        <x:v>27300</x:v>
      </x:c>
      <x:c r="Y21" s="84" t="n">
        <x:f>U21+W21+X21</x:f>
        <x:v>1665300</x:v>
      </x:c>
      <x:c r="Z21" s="69" t="str">
        <x:f>IF(AND(M21&gt;=85,S21&gt;=0.65),"A - Acelerar",IF(AND(M21&gt;=65,S21&gt;=0.45),"B - Desenvolver","C - Nutrir"))</x:f>
        <x:v>C - Nutrir</x:v>
      </x:c>
      <x:c r="AA21" s="69" t="str">
        <x:v>Auras, Auba</x:v>
      </x:c>
      <x:c r="AB21" s="69" t="str">
        <x:v>OK</x:v>
      </x:c>
      <x:c r="AC21" s="69" t="str">
        <x:v>Reestabelecer vínculo, cliente fidelizado Canavitta. Restringiu o acesso após rompimento com o Agente</x:v>
      </x:c>
    </x:row>
    <x:row r="22">
      <x:c r="A22" s="69" t="str">
        <x:v>USINA CALIFÓRNIA</x:v>
      </x:c>
      <x:c r="B22" s="82" t="n">
        <x:v>20000</x:v>
      </x:c>
      <x:c r="C22" s="82" t="n">
        <x:v>3000</x:v>
      </x:c>
      <x:c r="D22" s="82" t="n">
        <x:v>17000</x:v>
      </x:c>
      <x:c r="E22" s="69" t="str">
        <x:v>Alta</x:v>
      </x:c>
      <x:c r="F22" s="69" t="str">
        <x:v>cliente ativo com área comercial de protocolo completo em soqueira</x:v>
      </x:c>
      <x:c r="G22" s="69" t="str">
        <x:v>Precisamos aproximar mais da gerência, que é muito ligada com multinacionais de químico, o que dificulta o acesso. Maior oportunidade em soqueira. Cliente tem oportunidades de compras no segundo semestre</x:v>
      </x:c>
      <x:c r="H22" s="83" t="n">
        <x:f>IF(B22&lt;20000,20,IF(B22&lt;50000,40,IF(B22&lt;100000,60,IF(B22&lt;200000,80,100))))</x:f>
        <x:v>40</x:v>
      </x:c>
      <x:c r="I22" s="83" t="n">
        <x:v>85</x:v>
      </x:c>
      <x:c r="J22" s="83" t="n">
        <x:v>85</x:v>
      </x:c>
      <x:c r="K22" s="83" t="n">
        <x:v>15</x:v>
      </x:c>
      <x:c r="L22" s="83" t="n">
        <x:v>50</x:v>
      </x:c>
      <x:c r="M22" s="83" t="n">
        <x:f>ROUND((H22*Parametros_OPI!$B$4)+(I22*Parametros_OPI!$B$5)+(J22*Parametros_OPI!$B$6)+(K22*Parametros_OPI!$B$7)+(L22*Parametros_OPI!$B$8),1)</x:f>
        <x:v>57.5</x:v>
      </x:c>
      <x:c r="N22" s="69" t="str">
        <x:f>IF(AND(L22&gt;=100,B22&gt;=500000),"Legacy Anchor",IF(OR(M22&gt;=90,AND(L22&gt;=95,B22&gt;=150000)),"Legacy",IF(M22&gt;=70,"Prime",IF(M22&gt;=50,"Flow","Foundation"))))</x:f>
        <x:v>Flow</x:v>
      </x:c>
      <x:c r="O22" s="69" t="str">
        <x:f>IF(N22="Legacy Anchor","Cliente âncora",IF(N22="Legacy","Operação estratégica",IF(N22="Prime","Alta performance potencial",IF(N22="Flow","Evolução contínua","Estruturação operacional"))))</x:f>
        <x:v>Evolução contínua</x:v>
      </x:c>
      <x:c r="P22" s="69" t="str">
        <x:v>K0</x:v>
      </x:c>
      <x:c r="Q22" s="102" t="n">
        <x:v>0</x:v>
      </x:c>
      <x:c r="R22" s="69" t="str">
        <x:f>IF(M22&gt;=85,"ICP A",IF(M22&gt;=65,"ICP B","ICP C"))</x:f>
        <x:v>ICP C</x:v>
      </x:c>
      <x:c r="S22" s="103" t="n">
        <x:f>ROUND(MAX(Parametros_OPI!$B$16,MIN(Parametros_OPI!$B$17,(M22/100*0.55)+(I22/100*0.20)+(J22/100*0.15)+(K22/100*0.10))),2)</x:f>
        <x:v>0.63</x:v>
      </x:c>
      <x:c r="T22" s="84" t="n">
        <x:f>C22*Parametros_OPI!$B$9+D22*Parametros_OPI!$B$10</x:f>
        <x:v>3960000</x:v>
      </x:c>
      <x:c r="U22" s="84" t="n">
        <x:f>ROUND(T22*S22,0)</x:f>
        <x:v>2494800</x:v>
      </x:c>
      <x:c r="V22" s="82" t="n">
        <x:f>ROUND((U22*Parametros_OPI!$B$15)*IF(N22="Legacy Anchor",2.5,IF(N22="Legacy",2,IF(N22="Prime",1.5,IF(N22="Flow",1.2,1)))),0)</x:f>
        <x:v>29938</x:v>
      </x:c>
      <x:c r="W22" s="84" t="n">
        <x:f>ROUND(B22*Parametros_OPI!$B$11*Parametros_OPI!$B$12*S22,0)</x:f>
        <x:v>151200</x:v>
      </x:c>
      <x:c r="X22" s="84" t="n">
        <x:f>ROUND(B22*Parametros_OPI!$B$13*Parametros_OPI!$B$14*S22,0)</x:f>
        <x:v>44100</x:v>
      </x:c>
      <x:c r="Y22" s="84" t="n">
        <x:f>U22+W22+X22</x:f>
        <x:v>2690100</x:v>
      </x:c>
      <x:c r="Z22" s="69" t="str">
        <x:f>IF(AND(M22&gt;=85,S22&gt;=0.65),"A - Acelerar",IF(AND(M22&gt;=65,S22&gt;=0.45),"B - Desenvolver","C - Nutrir"))</x:f>
        <x:v>C - Nutrir</x:v>
      </x:c>
      <x:c r="AA22" s="69" t="str"/>
      <x:c r="AB22" s="69" t="str">
        <x:v>OK</x:v>
      </x:c>
      <x:c r="AC22" s="69" t="str">
        <x:v>Precisamos aproximar mais da gerência, que é muito ligada com multinacionais de químico, o que dificulta o acesso. Maior oportunidade em soqueira. Cliente tem oportunidades de compras no segundo semestre</x:v>
      </x:c>
    </x:row>
    <x:row r="23">
      <x:c r="A23" s="69" t="str">
        <x:v>USINA CERRADÃO</x:v>
      </x:c>
      <x:c r="B23" s="82" t="n">
        <x:v>80000</x:v>
      </x:c>
      <x:c r="C23" s="82" t="n">
        <x:v>12000</x:v>
      </x:c>
      <x:c r="D23" s="82" t="n">
        <x:v>68000</x:v>
      </x:c>
      <x:c r="E23" s="69" t="str">
        <x:v>Baixa</x:v>
      </x:c>
      <x:c r="F23" s="69" t="str">
        <x:v>Protocolo instalado, com manejo NOOA - Auras/Auba/Artefato. Acompanhamento de resultados</x:v>
      </x:c>
      <x:c r="G23" s="69" t="str">
        <x:v>Cliente multiplica Auras, buscar entender oportunidade para venda com valores mais agressivos</x:v>
      </x:c>
      <x:c r="H23" s="83" t="n">
        <x:f>IF(B23&lt;20000,20,IF(B23&lt;50000,40,IF(B23&lt;100000,60,IF(B23&lt;200000,80,100))))</x:f>
        <x:v>60</x:v>
      </x:c>
      <x:c r="I23" s="83" t="n">
        <x:v>55</x:v>
      </x:c>
      <x:c r="J23" s="83" t="n">
        <x:v>30</x:v>
      </x:c>
      <x:c r="K23" s="83" t="n">
        <x:v>38</x:v>
      </x:c>
      <x:c r="L23" s="83" t="n">
        <x:v>70</x:v>
      </x:c>
      <x:c r="M23" s="83" t="n">
        <x:f>ROUND((H23*Parametros_OPI!$B$4)+(I23*Parametros_OPI!$B$5)+(J23*Parametros_OPI!$B$6)+(K23*Parametros_OPI!$B$7)+(L23*Parametros_OPI!$B$8),1)</x:f>
        <x:v>50.5</x:v>
      </x:c>
      <x:c r="N23" s="69" t="str">
        <x:f>IF(AND(L23&gt;=100,B23&gt;=500000),"Legacy Anchor",IF(OR(M23&gt;=90,AND(L23&gt;=95,B23&gt;=150000)),"Legacy",IF(M23&gt;=70,"Prime",IF(M23&gt;=50,"Flow","Foundation"))))</x:f>
        <x:v>Flow</x:v>
      </x:c>
      <x:c r="O23" s="69" t="str">
        <x:f>IF(N23="Legacy Anchor","Cliente âncora",IF(N23="Legacy","Operação estratégica",IF(N23="Prime","Alta performance potencial",IF(N23="Flow","Evolução contínua","Estruturação operacional"))))</x:f>
        <x:v>Evolução contínua</x:v>
      </x:c>
      <x:c r="P23" s="69" t="str">
        <x:v>K0</x:v>
      </x:c>
      <x:c r="Q23" s="102" t="n">
        <x:v>0</x:v>
      </x:c>
      <x:c r="R23" s="69" t="str">
        <x:f>IF(M23&gt;=85,"ICP A",IF(M23&gt;=65,"ICP B","ICP C"))</x:f>
        <x:v>ICP C</x:v>
      </x:c>
      <x:c r="S23" s="103" t="n">
        <x:f>ROUND(MAX(Parametros_OPI!$B$16,MIN(Parametros_OPI!$B$17,(M23/100*0.55)+(I23/100*0.20)+(J23/100*0.15)+(K23/100*0.10))),2)</x:f>
        <x:v>0.47</x:v>
      </x:c>
      <x:c r="T23" s="84" t="n">
        <x:f>C23*Parametros_OPI!$B$9+D23*Parametros_OPI!$B$10</x:f>
        <x:v>15840000</x:v>
      </x:c>
      <x:c r="U23" s="84" t="n">
        <x:f>ROUND(T23*S23,0)</x:f>
        <x:v>7444800</x:v>
      </x:c>
      <x:c r="V23" s="82" t="n">
        <x:f>ROUND((U23*Parametros_OPI!$B$15)*IF(N23="Legacy Anchor",2.5,IF(N23="Legacy",2,IF(N23="Prime",1.5,IF(N23="Flow",1.2,1)))),0)</x:f>
        <x:v>89338</x:v>
      </x:c>
      <x:c r="W23" s="84" t="n">
        <x:f>ROUND(B23*Parametros_OPI!$B$11*Parametros_OPI!$B$12*S23,0)</x:f>
        <x:v>451200</x:v>
      </x:c>
      <x:c r="X23" s="84" t="n">
        <x:f>ROUND(B23*Parametros_OPI!$B$13*Parametros_OPI!$B$14*S23,0)</x:f>
        <x:v>131600</x:v>
      </x:c>
      <x:c r="Y23" s="84" t="n">
        <x:f>U23+W23+X23</x:f>
        <x:v>8027600</x:v>
      </x:c>
      <x:c r="Z23" s="69" t="str">
        <x:f>IF(AND(M23&gt;=85,S23&gt;=0.65),"A - Acelerar",IF(AND(M23&gt;=65,S23&gt;=0.45),"B - Desenvolver","C - Nutrir"))</x:f>
        <x:v>C - Nutrir</x:v>
      </x:c>
      <x:c r="AA23" s="69" t="str">
        <x:v>Auras, Auba, Artefato</x:v>
      </x:c>
      <x:c r="AB23" s="69" t="str">
        <x:v>OK</x:v>
      </x:c>
      <x:c r="AC23" s="69" t="str">
        <x:v>Cliente multiplica Auras, buscar entender oportunidade para venda com valores mais agressivos</x:v>
      </x:c>
    </x:row>
    <x:row r="24">
      <x:c r="A24" s="69" t="str">
        <x:v>USINA DA MATA</x:v>
      </x:c>
      <x:c r="B24" s="82" t="n">
        <x:v>50000</x:v>
      </x:c>
      <x:c r="C24" s="82" t="n">
        <x:v>7500</x:v>
      </x:c>
      <x:c r="D24" s="82" t="n">
        <x:v>42500</x:v>
      </x:c>
      <x:c r="E24" s="69" t="str">
        <x:v>Baixa</x:v>
      </x:c>
      <x:c r="F24" s="69" t="str">
        <x:v>campos Auras interno em andamento. Campo Auba com Consultoria</x:v>
      </x:c>
      <x:c r="G24" s="69" t="str">
        <x:v>Dependente dos resultados dos protocolos externos instalados.</x:v>
      </x:c>
      <x:c r="H24" s="83" t="n">
        <x:f>IF(B24&lt;20000,20,IF(B24&lt;50000,40,IF(B24&lt;100000,60,IF(B24&lt;200000,80,100))))</x:f>
        <x:v>60</x:v>
      </x:c>
      <x:c r="I24" s="83" t="n">
        <x:v>55</x:v>
      </x:c>
      <x:c r="J24" s="83" t="n">
        <x:v>30</x:v>
      </x:c>
      <x:c r="K24" s="83" t="n">
        <x:v>25</x:v>
      </x:c>
      <x:c r="L24" s="83" t="n">
        <x:v>60</x:v>
      </x:c>
      <x:c r="M24" s="83" t="n">
        <x:f>ROUND((H24*Parametros_OPI!$B$4)+(I24*Parametros_OPI!$B$5)+(J24*Parametros_OPI!$B$6)+(K24*Parametros_OPI!$B$7)+(L24*Parametros_OPI!$B$8),1)</x:f>
        <x:v>47.5</x:v>
      </x:c>
      <x:c r="N24" s="69" t="str">
        <x:f>IF(AND(L24&gt;=100,B24&gt;=500000),"Legacy Anchor",IF(OR(M24&gt;=90,AND(L24&gt;=95,B24&gt;=150000)),"Legacy",IF(M24&gt;=70,"Prime",IF(M24&gt;=50,"Flow","Foundation"))))</x:f>
        <x:v>Foundation</x:v>
      </x:c>
      <x:c r="O24" s="69" t="str">
        <x:f>IF(N24="Legacy Anchor","Cliente âncora",IF(N24="Legacy","Operação estratégica",IF(N24="Prime","Alta performance potencial",IF(N24="Flow","Evolução contínua","Estruturação operacional"))))</x:f>
        <x:v>Estruturação operacional</x:v>
      </x:c>
      <x:c r="P24" s="69" t="str">
        <x:v>K0</x:v>
      </x:c>
      <x:c r="Q24" s="102" t="n">
        <x:v>0</x:v>
      </x:c>
      <x:c r="R24" s="69" t="str">
        <x:f>IF(M24&gt;=85,"ICP A",IF(M24&gt;=65,"ICP B","ICP C"))</x:f>
        <x:v>ICP C</x:v>
      </x:c>
      <x:c r="S24" s="103" t="n">
        <x:f>ROUND(MAX(Parametros_OPI!$B$16,MIN(Parametros_OPI!$B$17,(M24/100*0.55)+(I24/100*0.20)+(J24/100*0.15)+(K24/100*0.10))),2)</x:f>
        <x:v>0.44</x:v>
      </x:c>
      <x:c r="T24" s="84" t="n">
        <x:f>C24*Parametros_OPI!$B$9+D24*Parametros_OPI!$B$10</x:f>
        <x:v>9900000</x:v>
      </x:c>
      <x:c r="U24" s="84" t="n">
        <x:f>ROUND(T24*S24,0)</x:f>
        <x:v>4356000</x:v>
      </x:c>
      <x:c r="V24" s="82" t="n">
        <x:f>ROUND((U24*Parametros_OPI!$B$15)*IF(N24="Legacy Anchor",2.5,IF(N24="Legacy",2,IF(N24="Prime",1.5,IF(N24="Flow",1.2,1)))),0)</x:f>
        <x:v>43560</x:v>
      </x:c>
      <x:c r="W24" s="84" t="n">
        <x:f>ROUND(B24*Parametros_OPI!$B$11*Parametros_OPI!$B$12*S24,0)</x:f>
        <x:v>264000</x:v>
      </x:c>
      <x:c r="X24" s="84" t="n">
        <x:f>ROUND(B24*Parametros_OPI!$B$13*Parametros_OPI!$B$14*S24,0)</x:f>
        <x:v>77000</x:v>
      </x:c>
      <x:c r="Y24" s="84" t="n">
        <x:f>U24+W24+X24</x:f>
        <x:v>4697000</x:v>
      </x:c>
      <x:c r="Z24" s="69" t="str">
        <x:f>IF(AND(M24&gt;=85,S24&gt;=0.65),"A - Acelerar",IF(AND(M24&gt;=65,S24&gt;=0.45),"B - Desenvolver","C - Nutrir"))</x:f>
        <x:v>C - Nutrir</x:v>
      </x:c>
      <x:c r="AA24" s="69" t="str">
        <x:v>Auras, Auba</x:v>
      </x:c>
      <x:c r="AB24" s="69" t="str">
        <x:v>OK</x:v>
      </x:c>
      <x:c r="AC24" s="69" t="str">
        <x:v>Dependente dos resultados dos protocolos externos instalados.</x:v>
      </x:c>
    </x:row>
    <x:row r="25">
      <x:c r="A25" s="69" t="str">
        <x:v>USINA DELTA</x:v>
      </x:c>
      <x:c r="B25" s="82" t="n">
        <x:v>120000</x:v>
      </x:c>
      <x:c r="C25" s="82" t="n">
        <x:v>18000</x:v>
      </x:c>
      <x:c r="D25" s="82" t="n">
        <x:v>102000</x:v>
      </x:c>
      <x:c r="E25" s="69" t="str">
        <x:v>Média</x:v>
      </x:c>
      <x:c r="F25" s="69" t="str">
        <x:v>Aguardando resultados de áreas com Auras e entender resultados finais de Bovettus e Mettus</x:v>
      </x:c>
      <x:c r="G25" s="69" t="str">
        <x:v>Acompanhar resultados finais da colheita dos campos. Levar equipe técnica a visita na NOOA</x:v>
      </x:c>
      <x:c r="H25" s="83" t="n">
        <x:f>IF(B25&lt;20000,20,IF(B25&lt;50000,40,IF(B25&lt;100000,60,IF(B25&lt;200000,80,100))))</x:f>
        <x:v>80</x:v>
      </x:c>
      <x:c r="I25" s="83" t="n">
        <x:v>55</x:v>
      </x:c>
      <x:c r="J25" s="83" t="n">
        <x:v>50</x:v>
      </x:c>
      <x:c r="K25" s="83" t="n">
        <x:v>38</x:v>
      </x:c>
      <x:c r="L25" s="83" t="n">
        <x:v>85</x:v>
      </x:c>
      <x:c r="M25" s="83" t="n">
        <x:f>ROUND((H25*Parametros_OPI!$B$4)+(I25*Parametros_OPI!$B$5)+(J25*Parametros_OPI!$B$6)+(K25*Parametros_OPI!$B$7)+(L25*Parametros_OPI!$B$8),1)</x:f>
        <x:v>62</x:v>
      </x:c>
      <x:c r="N25" s="69" t="str">
        <x:f>IF(AND(L25&gt;=100,B25&gt;=500000),"Legacy Anchor",IF(OR(M25&gt;=90,AND(L25&gt;=95,B25&gt;=150000)),"Legacy",IF(M25&gt;=70,"Prime",IF(M25&gt;=50,"Flow","Foundation"))))</x:f>
        <x:v>Flow</x:v>
      </x:c>
      <x:c r="O25" s="69" t="str">
        <x:f>IF(N25="Legacy Anchor","Cliente âncora",IF(N25="Legacy","Operação estratégica",IF(N25="Prime","Alta performance potencial",IF(N25="Flow","Evolução contínua","Estruturação operacional"))))</x:f>
        <x:v>Evolução contínua</x:v>
      </x:c>
      <x:c r="P25" s="69" t="str">
        <x:v>K0</x:v>
      </x:c>
      <x:c r="Q25" s="102" t="n">
        <x:v>0</x:v>
      </x:c>
      <x:c r="R25" s="69" t="str">
        <x:f>IF(M25&gt;=85,"ICP A",IF(M25&gt;=65,"ICP B","ICP C"))</x:f>
        <x:v>ICP C</x:v>
      </x:c>
      <x:c r="S25" s="103" t="n">
        <x:f>ROUND(MAX(Parametros_OPI!$B$16,MIN(Parametros_OPI!$B$17,(M25/100*0.55)+(I25/100*0.20)+(J25/100*0.15)+(K25/100*0.10))),2)</x:f>
        <x:v>0.56</x:v>
      </x:c>
      <x:c r="T25" s="84" t="n">
        <x:f>C25*Parametros_OPI!$B$9+D25*Parametros_OPI!$B$10</x:f>
        <x:v>23760000</x:v>
      </x:c>
      <x:c r="U25" s="84" t="n">
        <x:f>ROUND(T25*S25,0)</x:f>
        <x:v>13305600</x:v>
      </x:c>
      <x:c r="V25" s="82" t="n">
        <x:f>ROUND((U25*Parametros_OPI!$B$15)*IF(N25="Legacy Anchor",2.5,IF(N25="Legacy",2,IF(N25="Prime",1.5,IF(N25="Flow",1.2,1)))),0)</x:f>
        <x:v>159667</x:v>
      </x:c>
      <x:c r="W25" s="84" t="n">
        <x:f>ROUND(B25*Parametros_OPI!$B$11*Parametros_OPI!$B$12*S25,0)</x:f>
        <x:v>806400</x:v>
      </x:c>
      <x:c r="X25" s="84" t="n">
        <x:f>ROUND(B25*Parametros_OPI!$B$13*Parametros_OPI!$B$14*S25,0)</x:f>
        <x:v>235200</x:v>
      </x:c>
      <x:c r="Y25" s="84" t="n">
        <x:f>U25+W25+X25</x:f>
        <x:v>14347200</x:v>
      </x:c>
      <x:c r="Z25" s="69" t="str">
        <x:f>IF(AND(M25&gt;=85,S25&gt;=0.65),"A - Acelerar",IF(AND(M25&gt;=65,S25&gt;=0.45),"B - Desenvolver","C - Nutrir"))</x:f>
        <x:v>C - Nutrir</x:v>
      </x:c>
      <x:c r="AA25" s="69" t="str">
        <x:v>Auras, Bovettus, Mettus</x:v>
      </x:c>
      <x:c r="AB25" s="69" t="str">
        <x:v>OK</x:v>
      </x:c>
      <x:c r="AC25" s="69" t="str">
        <x:v>Acompanhar resultados finais da colheita dos campos. Levar equipe técnica a visita na NOOA</x:v>
      </x:c>
    </x:row>
    <x:row r="26">
      <x:c r="A26" s="69" t="str">
        <x:v>USINA ESTIVA</x:v>
      </x:c>
      <x:c r="B26" s="82" t="n">
        <x:v>30000</x:v>
      </x:c>
      <x:c r="C26" s="82" t="n">
        <x:v>4500</x:v>
      </x:c>
      <x:c r="D26" s="82" t="n">
        <x:v>25500</x:v>
      </x:c>
      <x:c r="E26" s="69" t="str">
        <x:v>Média</x:v>
      </x:c>
      <x:c r="F26" s="69" t="str">
        <x:v>campo de Auras em plantio. Campo Bovettus</x:v>
      </x:c>
      <x:c r="G26" s="69" t="str">
        <x:v>Estreitar relacionamento com cliente e entender melhor as oportunidades com o planejamento. Propor trabalho em vinhaça localizada (já bem avançado lá)</x:v>
      </x:c>
      <x:c r="H26" s="83" t="n">
        <x:f>IF(B26&lt;20000,20,IF(B26&lt;50000,40,IF(B26&lt;100000,60,IF(B26&lt;200000,80,100))))</x:f>
        <x:v>40</x:v>
      </x:c>
      <x:c r="I26" s="83" t="n">
        <x:v>40</x:v>
      </x:c>
      <x:c r="J26" s="83" t="n">
        <x:v>55</x:v>
      </x:c>
      <x:c r="K26" s="83" t="n">
        <x:v>25</x:v>
      </x:c>
      <x:c r="L26" s="83" t="n">
        <x:v>50</x:v>
      </x:c>
      <x:c r="M26" s="83" t="n">
        <x:f>ROUND((H26*Parametros_OPI!$B$4)+(I26*Parametros_OPI!$B$5)+(J26*Parametros_OPI!$B$6)+(K26*Parametros_OPI!$B$7)+(L26*Parametros_OPI!$B$8),1)</x:f>
        <x:v>41.8</x:v>
      </x:c>
      <x:c r="N26" s="69" t="str">
        <x:f>IF(AND(L26&gt;=100,B26&gt;=500000),"Legacy Anchor",IF(OR(M26&gt;=90,AND(L26&gt;=95,B26&gt;=150000)),"Legacy",IF(M26&gt;=70,"Prime",IF(M26&gt;=50,"Flow","Foundation"))))</x:f>
        <x:v>Foundation</x:v>
      </x:c>
      <x:c r="O26" s="69" t="str">
        <x:f>IF(N26="Legacy Anchor","Cliente âncora",IF(N26="Legacy","Operação estratégica",IF(N26="Prime","Alta performance potencial",IF(N26="Flow","Evolução contínua","Estruturação operacional"))))</x:f>
        <x:v>Estruturação operacional</x:v>
      </x:c>
      <x:c r="P26" s="69" t="str">
        <x:v>K0</x:v>
      </x:c>
      <x:c r="Q26" s="102" t="n">
        <x:v>0</x:v>
      </x:c>
      <x:c r="R26" s="69" t="str">
        <x:f>IF(M26&gt;=85,"ICP A",IF(M26&gt;=65,"ICP B","ICP C"))</x:f>
        <x:v>ICP C</x:v>
      </x:c>
      <x:c r="S26" s="103" t="n">
        <x:f>ROUND(MAX(Parametros_OPI!$B$16,MIN(Parametros_OPI!$B$17,(M26/100*0.55)+(I26/100*0.20)+(J26/100*0.15)+(K26/100*0.10))),2)</x:f>
        <x:v>0.42</x:v>
      </x:c>
      <x:c r="T26" s="84" t="n">
        <x:f>C26*Parametros_OPI!$B$9+D26*Parametros_OPI!$B$10</x:f>
        <x:v>5940000</x:v>
      </x:c>
      <x:c r="U26" s="84" t="n">
        <x:f>ROUND(T26*S26,0)</x:f>
        <x:v>2494800</x:v>
      </x:c>
      <x:c r="V26" s="82" t="n">
        <x:f>ROUND((U26*Parametros_OPI!$B$15)*IF(N26="Legacy Anchor",2.5,IF(N26="Legacy",2,IF(N26="Prime",1.5,IF(N26="Flow",1.2,1)))),0)</x:f>
        <x:v>24948</x:v>
      </x:c>
      <x:c r="W26" s="84" t="n">
        <x:f>ROUND(B26*Parametros_OPI!$B$11*Parametros_OPI!$B$12*S26,0)</x:f>
        <x:v>151200</x:v>
      </x:c>
      <x:c r="X26" s="84" t="n">
        <x:f>ROUND(B26*Parametros_OPI!$B$13*Parametros_OPI!$B$14*S26,0)</x:f>
        <x:v>44100</x:v>
      </x:c>
      <x:c r="Y26" s="84" t="n">
        <x:f>U26+W26+X26</x:f>
        <x:v>2690100</x:v>
      </x:c>
      <x:c r="Z26" s="69" t="str">
        <x:f>IF(AND(M26&gt;=85,S26&gt;=0.65),"A - Acelerar",IF(AND(M26&gt;=65,S26&gt;=0.45),"B - Desenvolver","C - Nutrir"))</x:f>
        <x:v>C - Nutrir</x:v>
      </x:c>
      <x:c r="AA26" s="69" t="str">
        <x:v>Auras, Bovettus</x:v>
      </x:c>
      <x:c r="AB26" s="69" t="str">
        <x:v>OK</x:v>
      </x:c>
      <x:c r="AC26" s="69" t="str">
        <x:v>Estreitar relacionamento com cliente e entender melhor as oportunidades com o planejamento. Propor trabalho em vinhaça localizada (já bem avançado lá)</x:v>
      </x:c>
    </x:row>
    <x:row r="27">
      <x:c r="A27" s="69" t="str">
        <x:v>USINA LINS</x:v>
      </x:c>
      <x:c r="B27" s="82" t="n">
        <x:v>40000</x:v>
      </x:c>
      <x:c r="C27" s="82" t="n">
        <x:v>6000</x:v>
      </x:c>
      <x:c r="D27" s="82" t="n">
        <x:v>50000</x:v>
      </x:c>
      <x:c r="E27" s="69" t="str">
        <x:v>Alta</x:v>
      </x:c>
      <x:c r="F27" s="69" t="str">
        <x:v>campo Auras e Tritter finalizado, aguardando divulgação resultados pela usina. Protocolo Auba em andamento.</x:v>
      </x:c>
      <x:c r="G27" s="69" t="str">
        <x:v>Finalização dos trabalhos para melhor evolução comercial. Mapear oportunidade de fungos entomopatogênicos e possibilidade de área semi-comercial Auras</x:v>
      </x:c>
      <x:c r="H27" s="83" t="n">
        <x:f>IF(B27&lt;20000,20,IF(B27&lt;50000,40,IF(B27&lt;100000,60,IF(B27&lt;200000,80,100))))</x:f>
        <x:v>40</x:v>
      </x:c>
      <x:c r="I27" s="83" t="n">
        <x:v>65</x:v>
      </x:c>
      <x:c r="J27" s="83" t="n">
        <x:v>85</x:v>
      </x:c>
      <x:c r="K27" s="83" t="n">
        <x:v>48</x:v>
      </x:c>
      <x:c r="L27" s="83" t="n">
        <x:v>60</x:v>
      </x:c>
      <x:c r="M27" s="83" t="n">
        <x:f>ROUND((H27*Parametros_OPI!$B$4)+(I27*Parametros_OPI!$B$5)+(J27*Parametros_OPI!$B$6)+(K27*Parametros_OPI!$B$7)+(L27*Parametros_OPI!$B$8),1)</x:f>
        <x:v>58.5</x:v>
      </x:c>
      <x:c r="N27" s="69" t="str">
        <x:f>IF(AND(L27&gt;=100,B27&gt;=500000),"Legacy Anchor",IF(OR(M27&gt;=90,AND(L27&gt;=95,B27&gt;=150000)),"Legacy",IF(M27&gt;=70,"Prime",IF(M27&gt;=50,"Flow","Foundation"))))</x:f>
        <x:v>Flow</x:v>
      </x:c>
      <x:c r="O27" s="69" t="str">
        <x:f>IF(N27="Legacy Anchor","Cliente âncora",IF(N27="Legacy","Operação estratégica",IF(N27="Prime","Alta performance potencial",IF(N27="Flow","Evolução contínua","Estruturação operacional"))))</x:f>
        <x:v>Evolução contínua</x:v>
      </x:c>
      <x:c r="P27" s="69" t="str">
        <x:v>K0</x:v>
      </x:c>
      <x:c r="Q27" s="102" t="n">
        <x:v>0</x:v>
      </x:c>
      <x:c r="R27" s="69" t="str">
        <x:f>IF(M27&gt;=85,"ICP A",IF(M27&gt;=65,"ICP B","ICP C"))</x:f>
        <x:v>ICP C</x:v>
      </x:c>
      <x:c r="S27" s="103" t="n">
        <x:f>ROUND(MAX(Parametros_OPI!$B$16,MIN(Parametros_OPI!$B$17,(M27/100*0.55)+(I27/100*0.20)+(J27/100*0.15)+(K27/100*0.10))),2)</x:f>
        <x:v>0.63</x:v>
      </x:c>
      <x:c r="T27" s="84" t="n">
        <x:f>C27*Parametros_OPI!$B$9+D27*Parametros_OPI!$B$10</x:f>
        <x:v>10800000</x:v>
      </x:c>
      <x:c r="U27" s="84" t="n">
        <x:f>ROUND(T27*S27,0)</x:f>
        <x:v>6804000</x:v>
      </x:c>
      <x:c r="V27" s="82" t="n">
        <x:f>ROUND((U27*Parametros_OPI!$B$15)*IF(N27="Legacy Anchor",2.5,IF(N27="Legacy",2,IF(N27="Prime",1.5,IF(N27="Flow",1.2,1)))),0)</x:f>
        <x:v>81648</x:v>
      </x:c>
      <x:c r="W27" s="84" t="n">
        <x:f>ROUND(B27*Parametros_OPI!$B$11*Parametros_OPI!$B$12*S27,0)</x:f>
        <x:v>302400</x:v>
      </x:c>
      <x:c r="X27" s="84" t="n">
        <x:f>ROUND(B27*Parametros_OPI!$B$13*Parametros_OPI!$B$14*S27,0)</x:f>
        <x:v>88200</x:v>
      </x:c>
      <x:c r="Y27" s="84" t="n">
        <x:f>U27+W27+X27</x:f>
        <x:v>7194600</x:v>
      </x:c>
      <x:c r="Z27" s="69" t="str">
        <x:f>IF(AND(M27&gt;=85,S27&gt;=0.65),"A - Acelerar",IF(AND(M27&gt;=65,S27&gt;=0.45),"B - Desenvolver","C - Nutrir"))</x:f>
        <x:v>C - Nutrir</x:v>
      </x:c>
      <x:c r="AA27" s="69" t="str">
        <x:v>Auras, Auba, Tritter, Fungos</x:v>
      </x:c>
      <x:c r="AB27" s="69" t="str">
        <x:v>Revisar área: planta+soca difere da área total</x:v>
      </x:c>
      <x:c r="AC27" s="69" t="str">
        <x:v>Finalização dos trabalhos para melhor evolução comercial. Mapear oportunidade de fungos entomopatogênicos e possibilidade de área semi-comercial Auras</x:v>
      </x:c>
    </x:row>
    <x:row r="28">
      <x:c r="A28" s="69" t="str">
        <x:v>USINA PIRASSUNUNGA 51</x:v>
      </x:c>
      <x:c r="B28" s="82" t="n">
        <x:v>9000</x:v>
      </x:c>
      <x:c r="C28" s="82" t="n">
        <x:v>1350</x:v>
      </x:c>
      <x:c r="D28" s="82" t="n">
        <x:v>7650</x:v>
      </x:c>
      <x:c r="E28" s="69" t="str">
        <x:v>Baixa</x:v>
      </x:c>
      <x:c r="F28" s="69" t="str">
        <x:v>Nova gerência. Estreitar relacionamento e instalação de campos novos</x:v>
      </x:c>
      <x:c r="G28" s="69" t="str">
        <x:v>Propor instalação de campos novos, com foco em Auras e Auba.</x:v>
      </x:c>
      <x:c r="H28" s="83" t="n">
        <x:f>IF(B28&lt;20000,20,IF(B28&lt;50000,40,IF(B28&lt;100000,60,IF(B28&lt;200000,80,100))))</x:f>
        <x:v>20</x:v>
      </x:c>
      <x:c r="I28" s="83" t="n">
        <x:v>40</x:v>
      </x:c>
      <x:c r="J28" s="83" t="n">
        <x:v>35</x:v>
      </x:c>
      <x:c r="K28" s="83" t="n">
        <x:v>25</x:v>
      </x:c>
      <x:c r="L28" s="83" t="n">
        <x:v>50</x:v>
      </x:c>
      <x:c r="M28" s="83" t="n">
        <x:f>ROUND((H28*Parametros_OPI!$B$4)+(I28*Parametros_OPI!$B$5)+(J28*Parametros_OPI!$B$6)+(K28*Parametros_OPI!$B$7)+(L28*Parametros_OPI!$B$8),1)</x:f>
        <x:v>31.8</x:v>
      </x:c>
      <x:c r="N28" s="69" t="str">
        <x:f>IF(AND(L28&gt;=100,B28&gt;=500000),"Legacy Anchor",IF(OR(M28&gt;=90,AND(L28&gt;=95,B28&gt;=150000)),"Legacy",IF(M28&gt;=70,"Prime",IF(M28&gt;=50,"Flow","Foundation"))))</x:f>
        <x:v>Foundation</x:v>
      </x:c>
      <x:c r="O28" s="69" t="str">
        <x:f>IF(N28="Legacy Anchor","Cliente âncora",IF(N28="Legacy","Operação estratégica",IF(N28="Prime","Alta performance potencial",IF(N28="Flow","Evolução contínua","Estruturação operacional"))))</x:f>
        <x:v>Estruturação operacional</x:v>
      </x:c>
      <x:c r="P28" s="69" t="str">
        <x:v>K0</x:v>
      </x:c>
      <x:c r="Q28" s="102" t="n">
        <x:v>0</x:v>
      </x:c>
      <x:c r="R28" s="69" t="str">
        <x:f>IF(M28&gt;=85,"ICP A",IF(M28&gt;=65,"ICP B","ICP C"))</x:f>
        <x:v>ICP C</x:v>
      </x:c>
      <x:c r="S28" s="103" t="n">
        <x:f>ROUND(MAX(Parametros_OPI!$B$16,MIN(Parametros_OPI!$B$17,(M28/100*0.55)+(I28/100*0.20)+(J28/100*0.15)+(K28/100*0.10))),2)</x:f>
        <x:v>0.33</x:v>
      </x:c>
      <x:c r="T28" s="84" t="n">
        <x:f>C28*Parametros_OPI!$B$9+D28*Parametros_OPI!$B$10</x:f>
        <x:v>1782000</x:v>
      </x:c>
      <x:c r="U28" s="84" t="n">
        <x:f>ROUND(T28*S28,0)</x:f>
        <x:v>588060</x:v>
      </x:c>
      <x:c r="V28" s="82" t="n">
        <x:f>ROUND((U28*Parametros_OPI!$B$15)*IF(N28="Legacy Anchor",2.5,IF(N28="Legacy",2,IF(N28="Prime",1.5,IF(N28="Flow",1.2,1)))),0)</x:f>
        <x:v>5881</x:v>
      </x:c>
      <x:c r="W28" s="84" t="n">
        <x:f>ROUND(B28*Parametros_OPI!$B$11*Parametros_OPI!$B$12*S28,0)</x:f>
        <x:v>35640</x:v>
      </x:c>
      <x:c r="X28" s="84" t="n">
        <x:f>ROUND(B28*Parametros_OPI!$B$13*Parametros_OPI!$B$14*S28,0)</x:f>
        <x:v>10395</x:v>
      </x:c>
      <x:c r="Y28" s="84" t="n">
        <x:f>U28+W28+X28</x:f>
        <x:v>634095</x:v>
      </x:c>
      <x:c r="Z28" s="69" t="str">
        <x:f>IF(AND(M28&gt;=85,S28&gt;=0.65),"A - Acelerar",IF(AND(M28&gt;=65,S28&gt;=0.45),"B - Desenvolver","C - Nutrir"))</x:f>
        <x:v>C - Nutrir</x:v>
      </x:c>
      <x:c r="AA28" s="69" t="str">
        <x:v>Auras, Auba</x:v>
      </x:c>
      <x:c r="AB28" s="69" t="str">
        <x:v>OK</x:v>
      </x:c>
      <x:c r="AC28" s="69" t="str">
        <x:v>Propor instalação de campos novos, com foco em Auras e Auba.</x:v>
      </x:c>
    </x:row>
    <x:row r="29">
      <x:c r="A29" s="69" t="str">
        <x:v>USINA PITANGUEIRAS</x:v>
      </x:c>
      <x:c r="B29" s="82" t="n">
        <x:v>20000</x:v>
      </x:c>
      <x:c r="C29" s="82" t="n">
        <x:v>3000</x:v>
      </x:c>
      <x:c r="D29" s="82" t="n">
        <x:v>17000</x:v>
      </x:c>
      <x:c r="E29" s="69" t="str">
        <x:v>Alta</x:v>
      </x:c>
      <x:c r="F29" s="69" t="str">
        <x:v>Campo instalado em plantio 25. Aguardando colheita para novos tratamentos.</x:v>
      </x:c>
      <x:c r="G29" s="69" t="str">
        <x:v>Acompanhamento da área de campo com Auras instalado.</x:v>
      </x:c>
      <x:c r="H29" s="83" t="n">
        <x:f>IF(B29&lt;20000,20,IF(B29&lt;50000,40,IF(B29&lt;100000,60,IF(B29&lt;200000,80,100))))</x:f>
        <x:v>40</x:v>
      </x:c>
      <x:c r="I29" s="83" t="n">
        <x:v>55</x:v>
      </x:c>
      <x:c r="J29" s="83" t="n">
        <x:v>70</x:v>
      </x:c>
      <x:c r="K29" s="83" t="n">
        <x:v>15</x:v>
      </x:c>
      <x:c r="L29" s="83" t="n">
        <x:v>50</x:v>
      </x:c>
      <x:c r="M29" s="83" t="n">
        <x:f>ROUND((H29*Parametros_OPI!$B$4)+(I29*Parametros_OPI!$B$5)+(J29*Parametros_OPI!$B$6)+(K29*Parametros_OPI!$B$7)+(L29*Parametros_OPI!$B$8),1)</x:f>
        <x:v>47</x:v>
      </x:c>
      <x:c r="N29" s="69" t="str">
        <x:f>IF(AND(L29&gt;=100,B29&gt;=500000),"Legacy Anchor",IF(OR(M29&gt;=90,AND(L29&gt;=95,B29&gt;=150000)),"Legacy",IF(M29&gt;=70,"Prime",IF(M29&gt;=50,"Flow","Foundation"))))</x:f>
        <x:v>Foundation</x:v>
      </x:c>
      <x:c r="O29" s="69" t="str">
        <x:f>IF(N29="Legacy Anchor","Cliente âncora",IF(N29="Legacy","Operação estratégica",IF(N29="Prime","Alta performance potencial",IF(N29="Flow","Evolução contínua","Estruturação operacional"))))</x:f>
        <x:v>Estruturação operacional</x:v>
      </x:c>
      <x:c r="P29" s="69" t="str">
        <x:v>K0</x:v>
      </x:c>
      <x:c r="Q29" s="102" t="n">
        <x:v>0</x:v>
      </x:c>
      <x:c r="R29" s="69" t="str">
        <x:f>IF(M29&gt;=85,"ICP A",IF(M29&gt;=65,"ICP B","ICP C"))</x:f>
        <x:v>ICP C</x:v>
      </x:c>
      <x:c r="S29" s="103" t="n">
        <x:f>ROUND(MAX(Parametros_OPI!$B$16,MIN(Parametros_OPI!$B$17,(M29/100*0.55)+(I29/100*0.20)+(J29/100*0.15)+(K29/100*0.10))),2)</x:f>
        <x:v>0.49</x:v>
      </x:c>
      <x:c r="T29" s="84" t="n">
        <x:f>C29*Parametros_OPI!$B$9+D29*Parametros_OPI!$B$10</x:f>
        <x:v>3960000</x:v>
      </x:c>
      <x:c r="U29" s="84" t="n">
        <x:f>ROUND(T29*S29,0)</x:f>
        <x:v>1940400</x:v>
      </x:c>
      <x:c r="V29" s="82" t="n">
        <x:f>ROUND((U29*Parametros_OPI!$B$15)*IF(N29="Legacy Anchor",2.5,IF(N29="Legacy",2,IF(N29="Prime",1.5,IF(N29="Flow",1.2,1)))),0)</x:f>
        <x:v>19404</x:v>
      </x:c>
      <x:c r="W29" s="84" t="n">
        <x:f>ROUND(B29*Parametros_OPI!$B$11*Parametros_OPI!$B$12*S29,0)</x:f>
        <x:v>117600</x:v>
      </x:c>
      <x:c r="X29" s="84" t="n">
        <x:f>ROUND(B29*Parametros_OPI!$B$13*Parametros_OPI!$B$14*S29,0)</x:f>
        <x:v>34300</x:v>
      </x:c>
      <x:c r="Y29" s="84" t="n">
        <x:f>U29+W29+X29</x:f>
        <x:v>2092300</x:v>
      </x:c>
      <x:c r="Z29" s="69" t="str">
        <x:f>IF(AND(M29&gt;=85,S29&gt;=0.65),"A - Acelerar",IF(AND(M29&gt;=65,S29&gt;=0.45),"B - Desenvolver","C - Nutrir"))</x:f>
        <x:v>C - Nutrir</x:v>
      </x:c>
      <x:c r="AA29" s="69" t="str">
        <x:v>Auras</x:v>
      </x:c>
      <x:c r="AB29" s="69" t="str">
        <x:v>OK</x:v>
      </x:c>
      <x:c r="AC29" s="69" t="str">
        <x:v>Acompanhamento da área de campo com Auras instalado.</x:v>
      </x:c>
    </x:row>
    <x:row r="30">
      <x:c r="A30" s="69" t="str">
        <x:v>USINA SANTA ADELIA</x:v>
      </x:c>
      <x:c r="B30" s="82" t="n">
        <x:v>50000</x:v>
      </x:c>
      <x:c r="C30" s="82" t="n">
        <x:v>7500</x:v>
      </x:c>
      <x:c r="D30" s="82" t="n">
        <x:v>42500</x:v>
      </x:c>
      <x:c r="E30" s="69" t="str">
        <x:v>Alta</x:v>
      </x:c>
      <x:c r="F30" s="69" t="str">
        <x:v>Novas oportunidades. Protocolo de Sphenophorus para desenvolvimento. Cotações de Auras, Auba, Bovettus e Mettus</x:v>
      </x:c>
      <x:c r="G30" s="69" t="str">
        <x:v>Entender resultados finais da última venda. Auba e Auras. Estreitar relacionamento com agrícola.</x:v>
      </x:c>
      <x:c r="H30" s="83" t="n">
        <x:f>IF(B30&lt;20000,20,IF(B30&lt;50000,40,IF(B30&lt;100000,60,IF(B30&lt;200000,80,100))))</x:f>
        <x:v>60</x:v>
      </x:c>
      <x:c r="I30" s="83" t="n">
        <x:v>55</x:v>
      </x:c>
      <x:c r="J30" s="83" t="n">
        <x:v>75</x:v>
      </x:c>
      <x:c r="K30" s="83" t="n">
        <x:v>50</x:v>
      </x:c>
      <x:c r="L30" s="83" t="n">
        <x:v>60</x:v>
      </x:c>
      <x:c r="M30" s="83" t="n">
        <x:f>ROUND((H30*Parametros_OPI!$B$4)+(I30*Parametros_OPI!$B$5)+(J30*Parametros_OPI!$B$6)+(K30*Parametros_OPI!$B$7)+(L30*Parametros_OPI!$B$8),1)</x:f>
        <x:v>60.3</x:v>
      </x:c>
      <x:c r="N30" s="69" t="str">
        <x:f>IF(AND(L30&gt;=100,B30&gt;=500000),"Legacy Anchor",IF(OR(M30&gt;=90,AND(L30&gt;=95,B30&gt;=150000)),"Legacy",IF(M30&gt;=70,"Prime",IF(M30&gt;=50,"Flow","Foundation"))))</x:f>
        <x:v>Flow</x:v>
      </x:c>
      <x:c r="O30" s="69" t="str">
        <x:f>IF(N30="Legacy Anchor","Cliente âncora",IF(N30="Legacy","Operação estratégica",IF(N30="Prime","Alta performance potencial",IF(N30="Flow","Evolução contínua","Estruturação operacional"))))</x:f>
        <x:v>Evolução contínua</x:v>
      </x:c>
      <x:c r="P30" s="69" t="str">
        <x:v>K0</x:v>
      </x:c>
      <x:c r="Q30" s="102" t="n">
        <x:v>0</x:v>
      </x:c>
      <x:c r="R30" s="69" t="str">
        <x:f>IF(M30&gt;=85,"ICP A",IF(M30&gt;=65,"ICP B","ICP C"))</x:f>
        <x:v>ICP C</x:v>
      </x:c>
      <x:c r="S30" s="103" t="n">
        <x:f>ROUND(MAX(Parametros_OPI!$B$16,MIN(Parametros_OPI!$B$17,(M30/100*0.55)+(I30/100*0.20)+(J30/100*0.15)+(K30/100*0.10))),2)</x:f>
        <x:v>0.6</x:v>
      </x:c>
      <x:c r="T30" s="84" t="n">
        <x:f>C30*Parametros_OPI!$B$9+D30*Parametros_OPI!$B$10</x:f>
        <x:v>9900000</x:v>
      </x:c>
      <x:c r="U30" s="84" t="n">
        <x:f>ROUND(T30*S30,0)</x:f>
        <x:v>5940000</x:v>
      </x:c>
      <x:c r="V30" s="82" t="n">
        <x:f>ROUND((U30*Parametros_OPI!$B$15)*IF(N30="Legacy Anchor",2.5,IF(N30="Legacy",2,IF(N30="Prime",1.5,IF(N30="Flow",1.2,1)))),0)</x:f>
        <x:v>71280</x:v>
      </x:c>
      <x:c r="W30" s="84" t="n">
        <x:f>ROUND(B30*Parametros_OPI!$B$11*Parametros_OPI!$B$12*S30,0)</x:f>
        <x:v>360000</x:v>
      </x:c>
      <x:c r="X30" s="84" t="n">
        <x:f>ROUND(B30*Parametros_OPI!$B$13*Parametros_OPI!$B$14*S30,0)</x:f>
        <x:v>105000</x:v>
      </x:c>
      <x:c r="Y30" s="84" t="n">
        <x:f>U30+W30+X30</x:f>
        <x:v>6405000</x:v>
      </x:c>
      <x:c r="Z30" s="69" t="str">
        <x:f>IF(AND(M30&gt;=85,S30&gt;=0.65),"A - Acelerar",IF(AND(M30&gt;=65,S30&gt;=0.45),"B - Desenvolver","C - Nutrir"))</x:f>
        <x:v>C - Nutrir</x:v>
      </x:c>
      <x:c r="AA30" s="69" t="str">
        <x:v>Auras, Auba, Bovettus, Mettus</x:v>
      </x:c>
      <x:c r="AB30" s="69" t="str">
        <x:v>OK</x:v>
      </x:c>
      <x:c r="AC30" s="69" t="str">
        <x:v>Entender resultados finais da última venda. Auba e Auras. Estreitar relacionamento com agrícola.</x:v>
      </x:c>
    </x:row>
    <x:row r="31">
      <x:c r="A31" s="69" t="str">
        <x:v>USINA SÃO DOMINGOS</x:v>
      </x:c>
      <x:c r="B31" s="82" t="n">
        <x:v>20000</x:v>
      </x:c>
      <x:c r="C31" s="82" t="n">
        <x:v>3000</x:v>
      </x:c>
      <x:c r="D31" s="82" t="n">
        <x:v>17000</x:v>
      </x:c>
      <x:c r="E31" s="69" t="str">
        <x:v>Alta</x:v>
      </x:c>
      <x:c r="F31" s="69" t="str">
        <x:v>Retomar alinhamento.</x:v>
      </x:c>
      <x:c r="G31" s="69" t="str">
        <x:v>Instalação de novos protocolos de plantio em 26.</x:v>
      </x:c>
      <x:c r="H31" s="83" t="n">
        <x:f>IF(B31&lt;20000,20,IF(B31&lt;50000,40,IF(B31&lt;100000,60,IF(B31&lt;200000,80,100))))</x:f>
        <x:v>40</x:v>
      </x:c>
      <x:c r="I31" s="83" t="n">
        <x:v>55</x:v>
      </x:c>
      <x:c r="J31" s="83" t="n">
        <x:v>75</x:v>
      </x:c>
      <x:c r="K31" s="83" t="n">
        <x:v>15</x:v>
      </x:c>
      <x:c r="L31" s="83" t="n">
        <x:v>50</x:v>
      </x:c>
      <x:c r="M31" s="83" t="n">
        <x:f>ROUND((H31*Parametros_OPI!$B$4)+(I31*Parametros_OPI!$B$5)+(J31*Parametros_OPI!$B$6)+(K31*Parametros_OPI!$B$7)+(L31*Parametros_OPI!$B$8),1)</x:f>
        <x:v>48</x:v>
      </x:c>
      <x:c r="N31" s="69" t="str">
        <x:f>IF(AND(L31&gt;=100,B31&gt;=500000),"Legacy Anchor",IF(OR(M31&gt;=90,AND(L31&gt;=95,B31&gt;=150000)),"Legacy",IF(M31&gt;=70,"Prime",IF(M31&gt;=50,"Flow","Foundation"))))</x:f>
        <x:v>Foundation</x:v>
      </x:c>
      <x:c r="O31" s="69" t="str">
        <x:f>IF(N31="Legacy Anchor","Cliente âncora",IF(N31="Legacy","Operação estratégica",IF(N31="Prime","Alta performance potencial",IF(N31="Flow","Evolução contínua","Estruturação operacional"))))</x:f>
        <x:v>Estruturação operacional</x:v>
      </x:c>
      <x:c r="P31" s="69" t="str">
        <x:v>K0</x:v>
      </x:c>
      <x:c r="Q31" s="102" t="n">
        <x:v>0</x:v>
      </x:c>
      <x:c r="R31" s="69" t="str">
        <x:f>IF(M31&gt;=85,"ICP A",IF(M31&gt;=65,"ICP B","ICP C"))</x:f>
        <x:v>ICP C</x:v>
      </x:c>
      <x:c r="S31" s="103" t="n">
        <x:f>ROUND(MAX(Parametros_OPI!$B$16,MIN(Parametros_OPI!$B$17,(M31/100*0.55)+(I31/100*0.20)+(J31/100*0.15)+(K31/100*0.10))),2)</x:f>
        <x:v>0.5</x:v>
      </x:c>
      <x:c r="T31" s="84" t="n">
        <x:f>C31*Parametros_OPI!$B$9+D31*Parametros_OPI!$B$10</x:f>
        <x:v>3960000</x:v>
      </x:c>
      <x:c r="U31" s="84" t="n">
        <x:f>ROUND(T31*S31,0)</x:f>
        <x:v>1980000</x:v>
      </x:c>
      <x:c r="V31" s="82" t="n">
        <x:f>ROUND((U31*Parametros_OPI!$B$15)*IF(N31="Legacy Anchor",2.5,IF(N31="Legacy",2,IF(N31="Prime",1.5,IF(N31="Flow",1.2,1)))),0)</x:f>
        <x:v>19800</x:v>
      </x:c>
      <x:c r="W31" s="84" t="n">
        <x:f>ROUND(B31*Parametros_OPI!$B$11*Parametros_OPI!$B$12*S31,0)</x:f>
        <x:v>120000</x:v>
      </x:c>
      <x:c r="X31" s="84" t="n">
        <x:f>ROUND(B31*Parametros_OPI!$B$13*Parametros_OPI!$B$14*S31,0)</x:f>
        <x:v>35000</x:v>
      </x:c>
      <x:c r="Y31" s="84" t="n">
        <x:f>U31+W31+X31</x:f>
        <x:v>2135000</x:v>
      </x:c>
      <x:c r="Z31" s="69" t="str">
        <x:f>IF(AND(M31&gt;=85,S31&gt;=0.65),"A - Acelerar",IF(AND(M31&gt;=65,S31&gt;=0.45),"B - Desenvolver","C - Nutrir"))</x:f>
        <x:v>C - Nutrir</x:v>
      </x:c>
      <x:c r="AA31" s="69" t="str"/>
      <x:c r="AB31" s="69" t="str">
        <x:v>OK</x:v>
      </x:c>
      <x:c r="AC31" s="69" t="str">
        <x:v>Instalação de novos protocolos de plantio em 26.</x:v>
      </x:c>
    </x:row>
    <x:row r="32">
      <x:c r="A32" s="69" t="str">
        <x:v>USINA SÃO FRANCISCO</x:v>
      </x:c>
      <x:c r="B32" s="82" t="n">
        <x:v>20000</x:v>
      </x:c>
      <x:c r="C32" s="82" t="n">
        <x:v>3000</x:v>
      </x:c>
      <x:c r="D32" s="82" t="n">
        <x:v>17000</x:v>
      </x:c>
      <x:c r="E32" s="69" t="str">
        <x:v>Baixa</x:v>
      </x:c>
      <x:c r="F32" s="69" t="str">
        <x:v>Cliente de cana orgânica mas com alta restrição a produtos. Necessidade de certificações.</x:v>
      </x:c>
      <x:c r="G32" s="69" t="str">
        <x:v>Resultados com Auras negativos. Entender novas oportunidades com o agrícola.</x:v>
      </x:c>
      <x:c r="H32" s="83" t="n">
        <x:f>IF(B32&lt;20000,20,IF(B32&lt;50000,40,IF(B32&lt;100000,60,IF(B32&lt;200000,80,100))))</x:f>
        <x:v>40</x:v>
      </x:c>
      <x:c r="I32" s="83" t="n">
        <x:v>40</x:v>
      </x:c>
      <x:c r="J32" s="83" t="n">
        <x:v>30</x:v>
      </x:c>
      <x:c r="K32" s="83" t="n">
        <x:v>15</x:v>
      </x:c>
      <x:c r="L32" s="83" t="n">
        <x:v>50</x:v>
      </x:c>
      <x:c r="M32" s="83" t="n">
        <x:f>ROUND((H32*Parametros_OPI!$B$4)+(I32*Parametros_OPI!$B$5)+(J32*Parametros_OPI!$B$6)+(K32*Parametros_OPI!$B$7)+(L32*Parametros_OPI!$B$8),1)</x:f>
        <x:v>35.3</x:v>
      </x:c>
      <x:c r="N32" s="69" t="str">
        <x:f>IF(AND(L32&gt;=100,B32&gt;=500000),"Legacy Anchor",IF(OR(M32&gt;=90,AND(L32&gt;=95,B32&gt;=150000)),"Legacy",IF(M32&gt;=70,"Prime",IF(M32&gt;=50,"Flow","Foundation"))))</x:f>
        <x:v>Foundation</x:v>
      </x:c>
      <x:c r="O32" s="69" t="str">
        <x:f>IF(N32="Legacy Anchor","Cliente âncora",IF(N32="Legacy","Operação estratégica",IF(N32="Prime","Alta performance potencial",IF(N32="Flow","Evolução contínua","Estruturação operacional"))))</x:f>
        <x:v>Estruturação operacional</x:v>
      </x:c>
      <x:c r="P32" s="69" t="str">
        <x:v>K0</x:v>
      </x:c>
      <x:c r="Q32" s="102" t="n">
        <x:v>0</x:v>
      </x:c>
      <x:c r="R32" s="69" t="str">
        <x:f>IF(M32&gt;=85,"ICP A",IF(M32&gt;=65,"ICP B","ICP C"))</x:f>
        <x:v>ICP C</x:v>
      </x:c>
      <x:c r="S32" s="103" t="n">
        <x:f>ROUND(MAX(Parametros_OPI!$B$16,MIN(Parametros_OPI!$B$17,(M32/100*0.55)+(I32/100*0.20)+(J32/100*0.15)+(K32/100*0.10))),2)</x:f>
        <x:v>0.33</x:v>
      </x:c>
      <x:c r="T32" s="84" t="n">
        <x:f>C32*Parametros_OPI!$B$9+D32*Parametros_OPI!$B$10</x:f>
        <x:v>3960000</x:v>
      </x:c>
      <x:c r="U32" s="84" t="n">
        <x:f>ROUND(T32*S32,0)</x:f>
        <x:v>1306800</x:v>
      </x:c>
      <x:c r="V32" s="82" t="n">
        <x:f>ROUND((U32*Parametros_OPI!$B$15)*IF(N32="Legacy Anchor",2.5,IF(N32="Legacy",2,IF(N32="Prime",1.5,IF(N32="Flow",1.2,1)))),0)</x:f>
        <x:v>13068</x:v>
      </x:c>
      <x:c r="W32" s="84" t="n">
        <x:f>ROUND(B32*Parametros_OPI!$B$11*Parametros_OPI!$B$12*S32,0)</x:f>
        <x:v>79200</x:v>
      </x:c>
      <x:c r="X32" s="84" t="n">
        <x:f>ROUND(B32*Parametros_OPI!$B$13*Parametros_OPI!$B$14*S32,0)</x:f>
        <x:v>23100</x:v>
      </x:c>
      <x:c r="Y32" s="84" t="n">
        <x:f>U32+W32+X32</x:f>
        <x:v>1409100</x:v>
      </x:c>
      <x:c r="Z32" s="69" t="str">
        <x:f>IF(AND(M32&gt;=85,S32&gt;=0.65),"A - Acelerar",IF(AND(M32&gt;=65,S32&gt;=0.45),"B - Desenvolver","C - Nutrir"))</x:f>
        <x:v>C - Nutrir</x:v>
      </x:c>
      <x:c r="AA32" s="69" t="str">
        <x:v>Auras</x:v>
      </x:c>
      <x:c r="AB32" s="69" t="str">
        <x:v>OK</x:v>
      </x:c>
      <x:c r="AC32" s="69" t="str">
        <x:v>Resultados com Auras negativos. Entender novas oportunidades com o agrícola.</x:v>
      </x:c>
    </x:row>
    <x:row r="33">
      <x:c r="A33" s="69" t="str">
        <x:v>USINA SÃO MANOEL</x:v>
      </x:c>
      <x:c r="B33" s="82" t="n">
        <x:v>60000</x:v>
      </x:c>
      <x:c r="C33" s="82" t="n">
        <x:v>9000</x:v>
      </x:c>
      <x:c r="D33" s="82" t="n">
        <x:v>51000</x:v>
      </x:c>
      <x:c r="E33" s="69" t="str">
        <x:v>Baixa</x:v>
      </x:c>
      <x:c r="F33" s="69" t="str">
        <x:v>Cliente com pouco uso de biológicos. Possibilidade de Auras e Auba somente.</x:v>
      </x:c>
      <x:c r="G33" s="69" t="str">
        <x:v>Aproximação para novas oportunidades na safra 26.</x:v>
      </x:c>
      <x:c r="H33" s="83" t="n">
        <x:f>IF(B33&lt;20000,20,IF(B33&lt;50000,40,IF(B33&lt;100000,60,IF(B33&lt;200000,80,100))))</x:f>
        <x:v>60</x:v>
      </x:c>
      <x:c r="I33" s="83" t="n">
        <x:v>40</x:v>
      </x:c>
      <x:c r="J33" s="83" t="n">
        <x:v>30</x:v>
      </x:c>
      <x:c r="K33" s="83" t="n">
        <x:v>25</x:v>
      </x:c>
      <x:c r="L33" s="83" t="n">
        <x:v>60</x:v>
      </x:c>
      <x:c r="M33" s="83" t="n">
        <x:f>ROUND((H33*Parametros_OPI!$B$4)+(I33*Parametros_OPI!$B$5)+(J33*Parametros_OPI!$B$6)+(K33*Parametros_OPI!$B$7)+(L33*Parametros_OPI!$B$8),1)</x:f>
        <x:v>43.8</x:v>
      </x:c>
      <x:c r="N33" s="69" t="str">
        <x:f>IF(AND(L33&gt;=100,B33&gt;=500000),"Legacy Anchor",IF(OR(M33&gt;=90,AND(L33&gt;=95,B33&gt;=150000)),"Legacy",IF(M33&gt;=70,"Prime",IF(M33&gt;=50,"Flow","Foundation"))))</x:f>
        <x:v>Foundation</x:v>
      </x:c>
      <x:c r="O33" s="69" t="str">
        <x:f>IF(N33="Legacy Anchor","Cliente âncora",IF(N33="Legacy","Operação estratégica",IF(N33="Prime","Alta performance potencial",IF(N33="Flow","Evolução contínua","Estruturação operacional"))))</x:f>
        <x:v>Estruturação operacional</x:v>
      </x:c>
      <x:c r="P33" s="69" t="str">
        <x:v>K0</x:v>
      </x:c>
      <x:c r="Q33" s="102" t="n">
        <x:v>0</x:v>
      </x:c>
      <x:c r="R33" s="69" t="str">
        <x:f>IF(M33&gt;=85,"ICP A",IF(M33&gt;=65,"ICP B","ICP C"))</x:f>
        <x:v>ICP C</x:v>
      </x:c>
      <x:c r="S33" s="103" t="n">
        <x:f>ROUND(MAX(Parametros_OPI!$B$16,MIN(Parametros_OPI!$B$17,(M33/100*0.55)+(I33/100*0.20)+(J33/100*0.15)+(K33/100*0.10))),2)</x:f>
        <x:v>0.39</x:v>
      </x:c>
      <x:c r="T33" s="84" t="n">
        <x:f>C33*Parametros_OPI!$B$9+D33*Parametros_OPI!$B$10</x:f>
        <x:v>11880000</x:v>
      </x:c>
      <x:c r="U33" s="84" t="n">
        <x:f>ROUND(T33*S33,0)</x:f>
        <x:v>4633200</x:v>
      </x:c>
      <x:c r="V33" s="82" t="n">
        <x:f>ROUND((U33*Parametros_OPI!$B$15)*IF(N33="Legacy Anchor",2.5,IF(N33="Legacy",2,IF(N33="Prime",1.5,IF(N33="Flow",1.2,1)))),0)</x:f>
        <x:v>46332</x:v>
      </x:c>
      <x:c r="W33" s="84" t="n">
        <x:f>ROUND(B33*Parametros_OPI!$B$11*Parametros_OPI!$B$12*S33,0)</x:f>
        <x:v>280800</x:v>
      </x:c>
      <x:c r="X33" s="84" t="n">
        <x:f>ROUND(B33*Parametros_OPI!$B$13*Parametros_OPI!$B$14*S33,0)</x:f>
        <x:v>81900</x:v>
      </x:c>
      <x:c r="Y33" s="84" t="n">
        <x:f>U33+W33+X33</x:f>
        <x:v>4995900</x:v>
      </x:c>
      <x:c r="Z33" s="69" t="str">
        <x:f>IF(AND(M33&gt;=85,S33&gt;=0.65),"A - Acelerar",IF(AND(M33&gt;=65,S33&gt;=0.45),"B - Desenvolver","C - Nutrir"))</x:f>
        <x:v>C - Nutrir</x:v>
      </x:c>
      <x:c r="AA33" s="69" t="str">
        <x:v>Auras, Auba</x:v>
      </x:c>
      <x:c r="AB33" s="69" t="str">
        <x:v>OK</x:v>
      </x:c>
      <x:c r="AC33" s="69" t="str">
        <x:v>Aproximação para novas oportunidades na safra 26.</x:v>
      </x:c>
    </x:row>
    <x:row r="34">
      <x:c r="A34" s="69" t="str">
        <x:v>USINA SÃO LUIZ</x:v>
      </x:c>
      <x:c r="B34" s="82" t="n">
        <x:v>35000</x:v>
      </x:c>
      <x:c r="C34" s="82" t="n">
        <x:v>5250</x:v>
      </x:c>
      <x:c r="D34" s="82" t="n">
        <x:v>29750</x:v>
      </x:c>
      <x:c r="E34" s="69" t="str">
        <x:v>Baixa</x:v>
      </x:c>
      <x:c r="F34" s="69" t="str">
        <x:v>Em prospecção inicial.</x:v>
      </x:c>
      <x:c r="G34" s="69" t="str">
        <x:v>Estreitar relação. Buscar novas oportunidades para instalação de protocolos.</x:v>
      </x:c>
      <x:c r="H34" s="83" t="n">
        <x:f>IF(B34&lt;20000,20,IF(B34&lt;50000,40,IF(B34&lt;100000,60,IF(B34&lt;200000,80,100))))</x:f>
        <x:v>40</x:v>
      </x:c>
      <x:c r="I34" s="83" t="n">
        <x:v>55</x:v>
      </x:c>
      <x:c r="J34" s="83" t="n">
        <x:v>30</x:v>
      </x:c>
      <x:c r="K34" s="83" t="n">
        <x:v>15</x:v>
      </x:c>
      <x:c r="L34" s="83" t="n">
        <x:v>50</x:v>
      </x:c>
      <x:c r="M34" s="83" t="n">
        <x:f>ROUND((H34*Parametros_OPI!$B$4)+(I34*Parametros_OPI!$B$5)+(J34*Parametros_OPI!$B$6)+(K34*Parametros_OPI!$B$7)+(L34*Parametros_OPI!$B$8),1)</x:f>
        <x:v>39</x:v>
      </x:c>
      <x:c r="N34" s="69" t="str">
        <x:f>IF(AND(L34&gt;=100,B34&gt;=500000),"Legacy Anchor",IF(OR(M34&gt;=90,AND(L34&gt;=95,B34&gt;=150000)),"Legacy",IF(M34&gt;=70,"Prime",IF(M34&gt;=50,"Flow","Foundation"))))</x:f>
        <x:v>Foundation</x:v>
      </x:c>
      <x:c r="O34" s="69" t="str">
        <x:f>IF(N34="Legacy Anchor","Cliente âncora",IF(N34="Legacy","Operação estratégica",IF(N34="Prime","Alta performance potencial",IF(N34="Flow","Evolução contínua","Estruturação operacional"))))</x:f>
        <x:v>Estruturação operacional</x:v>
      </x:c>
      <x:c r="P34" s="69" t="str">
        <x:v>K0</x:v>
      </x:c>
      <x:c r="Q34" s="102" t="n">
        <x:v>0</x:v>
      </x:c>
      <x:c r="R34" s="69" t="str">
        <x:f>IF(M34&gt;=85,"ICP A",IF(M34&gt;=65,"ICP B","ICP C"))</x:f>
        <x:v>ICP C</x:v>
      </x:c>
      <x:c r="S34" s="103" t="n">
        <x:f>ROUND(MAX(Parametros_OPI!$B$16,MIN(Parametros_OPI!$B$17,(M34/100*0.55)+(I34/100*0.20)+(J34/100*0.15)+(K34/100*0.10))),2)</x:f>
        <x:v>0.38</x:v>
      </x:c>
      <x:c r="T34" s="84" t="n">
        <x:f>C34*Parametros_OPI!$B$9+D34*Parametros_OPI!$B$10</x:f>
        <x:v>6930000</x:v>
      </x:c>
      <x:c r="U34" s="84" t="n">
        <x:f>ROUND(T34*S34,0)</x:f>
        <x:v>2633400</x:v>
      </x:c>
      <x:c r="V34" s="82" t="n">
        <x:f>ROUND((U34*Parametros_OPI!$B$15)*IF(N34="Legacy Anchor",2.5,IF(N34="Legacy",2,IF(N34="Prime",1.5,IF(N34="Flow",1.2,1)))),0)</x:f>
        <x:v>26334</x:v>
      </x:c>
      <x:c r="W34" s="84" t="n">
        <x:f>ROUND(B34*Parametros_OPI!$B$11*Parametros_OPI!$B$12*S34,0)</x:f>
        <x:v>159600</x:v>
      </x:c>
      <x:c r="X34" s="84" t="n">
        <x:f>ROUND(B34*Parametros_OPI!$B$13*Parametros_OPI!$B$14*S34,0)</x:f>
        <x:v>46550</x:v>
      </x:c>
      <x:c r="Y34" s="84" t="n">
        <x:f>U34+W34+X34</x:f>
        <x:v>2839550</x:v>
      </x:c>
      <x:c r="Z34" s="69" t="str">
        <x:f>IF(AND(M34&gt;=85,S34&gt;=0.65),"A - Acelerar",IF(AND(M34&gt;=65,S34&gt;=0.45),"B - Desenvolver","C - Nutrir"))</x:f>
        <x:v>C - Nutrir</x:v>
      </x:c>
      <x:c r="AA34" s="69" t="str"/>
      <x:c r="AB34" s="69" t="str">
        <x:v>OK</x:v>
      </x:c>
      <x:c r="AC34" s="69" t="str">
        <x:v>Estreitar relação. Buscar novas oportunidades para instalação de protocolos.</x:v>
      </x:c>
    </x:row>
    <x:row r="35">
      <x:c r="A35" s="69" t="str">
        <x:v>USINA SÃO LUIS/FERRARI</x:v>
      </x:c>
      <x:c r="B35" s="82" t="n">
        <x:v>50000</x:v>
      </x:c>
      <x:c r="C35" s="82" t="n">
        <x:v>7500</x:v>
      </x:c>
      <x:c r="D35" s="82" t="n">
        <x:v>42500</x:v>
      </x:c>
      <x:c r="E35" s="69" t="str">
        <x:v>Baixa</x:v>
      </x:c>
      <x:c r="F35" s="69" t="str">
        <x:v>Em prospecção inicial. Cliente com instalação de biofábrica.</x:v>
      </x:c>
      <x:c r="G35" s="69" t="str">
        <x:v>Entender quais microorganismos estão sendo multiplicados e buscar fazer contra propostas com protocolos.</x:v>
      </x:c>
      <x:c r="H35" s="83" t="n">
        <x:f>IF(B35&lt;20000,20,IF(B35&lt;50000,40,IF(B35&lt;100000,60,IF(B35&lt;200000,80,100))))</x:f>
        <x:v>60</x:v>
      </x:c>
      <x:c r="I35" s="83" t="n">
        <x:v>55</x:v>
      </x:c>
      <x:c r="J35" s="83" t="n">
        <x:v>30</x:v>
      </x:c>
      <x:c r="K35" s="83" t="n">
        <x:v>15</x:v>
      </x:c>
      <x:c r="L35" s="83" t="n">
        <x:v>60</x:v>
      </x:c>
      <x:c r="M35" s="83" t="n">
        <x:f>ROUND((H35*Parametros_OPI!$B$4)+(I35*Parametros_OPI!$B$5)+(J35*Parametros_OPI!$B$6)+(K35*Parametros_OPI!$B$7)+(L35*Parametros_OPI!$B$8),1)</x:f>
        <x:v>46</x:v>
      </x:c>
      <x:c r="N35" s="69" t="str">
        <x:f>IF(AND(L35&gt;=100,B35&gt;=500000),"Legacy Anchor",IF(OR(M35&gt;=90,AND(L35&gt;=95,B35&gt;=150000)),"Legacy",IF(M35&gt;=70,"Prime",IF(M35&gt;=50,"Flow","Foundation"))))</x:f>
        <x:v>Foundation</x:v>
      </x:c>
      <x:c r="O35" s="69" t="str">
        <x:f>IF(N35="Legacy Anchor","Cliente âncora",IF(N35="Legacy","Operação estratégica",IF(N35="Prime","Alta performance potencial",IF(N35="Flow","Evolução contínua","Estruturação operacional"))))</x:f>
        <x:v>Estruturação operacional</x:v>
      </x:c>
      <x:c r="P35" s="69" t="str">
        <x:v>K0</x:v>
      </x:c>
      <x:c r="Q35" s="102" t="n">
        <x:v>0</x:v>
      </x:c>
      <x:c r="R35" s="69" t="str">
        <x:f>IF(M35&gt;=85,"ICP A",IF(M35&gt;=65,"ICP B","ICP C"))</x:f>
        <x:v>ICP C</x:v>
      </x:c>
      <x:c r="S35" s="103" t="n">
        <x:f>ROUND(MAX(Parametros_OPI!$B$16,MIN(Parametros_OPI!$B$17,(M35/100*0.55)+(I35/100*0.20)+(J35/100*0.15)+(K35/100*0.10))),2)</x:f>
        <x:v>0.42</x:v>
      </x:c>
      <x:c r="T35" s="84" t="n">
        <x:f>C35*Parametros_OPI!$B$9+D35*Parametros_OPI!$B$10</x:f>
        <x:v>9900000</x:v>
      </x:c>
      <x:c r="U35" s="84" t="n">
        <x:f>ROUND(T35*S35,0)</x:f>
        <x:v>4158000</x:v>
      </x:c>
      <x:c r="V35" s="82" t="n">
        <x:f>ROUND((U35*Parametros_OPI!$B$15)*IF(N35="Legacy Anchor",2.5,IF(N35="Legacy",2,IF(N35="Prime",1.5,IF(N35="Flow",1.2,1)))),0)</x:f>
        <x:v>41580</x:v>
      </x:c>
      <x:c r="W35" s="84" t="n">
        <x:f>ROUND(B35*Parametros_OPI!$B$11*Parametros_OPI!$B$12*S35,0)</x:f>
        <x:v>252000</x:v>
      </x:c>
      <x:c r="X35" s="84" t="n">
        <x:f>ROUND(B35*Parametros_OPI!$B$13*Parametros_OPI!$B$14*S35,0)</x:f>
        <x:v>73500</x:v>
      </x:c>
      <x:c r="Y35" s="84" t="n">
        <x:f>U35+W35+X35</x:f>
        <x:v>4483500</x:v>
      </x:c>
      <x:c r="Z35" s="69" t="str">
        <x:f>IF(AND(M35&gt;=85,S35&gt;=0.65),"A - Acelerar",IF(AND(M35&gt;=65,S35&gt;=0.45),"B - Desenvolver","C - Nutrir"))</x:f>
        <x:v>C - Nutrir</x:v>
      </x:c>
      <x:c r="AA35" s="69" t="str"/>
      <x:c r="AB35" s="69" t="str">
        <x:v>OK</x:v>
      </x:c>
      <x:c r="AC35" s="69" t="str">
        <x:v>Entender quais microorganismos estão sendo multiplicados e buscar fazer contra propostas com protocolos.</x:v>
      </x:c>
    </x:row>
    <x:row r="36">
      <x:c r="A36" s="69" t="str">
        <x:v>GRUPO VALE DO VERDÃO</x:v>
      </x:c>
      <x:c r="B36" s="82" t="n">
        <x:v>155000</x:v>
      </x:c>
      <x:c r="C36" s="82" t="n">
        <x:v>23250</x:v>
      </x:c>
      <x:c r="D36" s="82" t="n">
        <x:v>131750</x:v>
      </x:c>
      <x:c r="E36" s="69" t="str">
        <x:v>Baixa</x:v>
      </x:c>
      <x:c r="F36" s="69" t="str">
        <x:v>Retomar conversa, Alinhamento prévio com antigo CDM GOIAS</x:v>
      </x:c>
      <x:c r="G36" s="69" t="str">
        <x:v>Realinhar contato feito pelo antigo CDM GO</x:v>
      </x:c>
      <x:c r="H36" s="83" t="n">
        <x:f>IF(B36&lt;20000,20,IF(B36&lt;50000,40,IF(B36&lt;100000,60,IF(B36&lt;200000,80,100))))</x:f>
        <x:v>80</x:v>
      </x:c>
      <x:c r="I36" s="83" t="n">
        <x:v>40</x:v>
      </x:c>
      <x:c r="J36" s="83" t="n">
        <x:v>35</x:v>
      </x:c>
      <x:c r="K36" s="83" t="n">
        <x:v>15</x:v>
      </x:c>
      <x:c r="L36" s="83" t="n">
        <x:v>85</x:v>
      </x:c>
      <x:c r="M36" s="83" t="n">
        <x:f>ROUND((H36*Parametros_OPI!$B$4)+(I36*Parametros_OPI!$B$5)+(J36*Parametros_OPI!$B$6)+(K36*Parametros_OPI!$B$7)+(L36*Parametros_OPI!$B$8),1)</x:f>
        <x:v>51.8</x:v>
      </x:c>
      <x:c r="N36" s="69" t="str">
        <x:f>IF(AND(L36&gt;=100,B36&gt;=500000),"Legacy Anchor",IF(OR(M36&gt;=90,AND(L36&gt;=95,B36&gt;=150000)),"Legacy",IF(M36&gt;=70,"Prime",IF(M36&gt;=50,"Flow","Foundation"))))</x:f>
        <x:v>Flow</x:v>
      </x:c>
      <x:c r="O36" s="69" t="str">
        <x:f>IF(N36="Legacy Anchor","Cliente âncora",IF(N36="Legacy","Operação estratégica",IF(N36="Prime","Alta performance potencial",IF(N36="Flow","Evolução contínua","Estruturação operacional"))))</x:f>
        <x:v>Evolução contínua</x:v>
      </x:c>
      <x:c r="P36" s="69" t="str">
        <x:v>K0</x:v>
      </x:c>
      <x:c r="Q36" s="102" t="n">
        <x:v>0</x:v>
      </x:c>
      <x:c r="R36" s="69" t="str">
        <x:f>IF(M36&gt;=85,"ICP A",IF(M36&gt;=65,"ICP B","ICP C"))</x:f>
        <x:v>ICP C</x:v>
      </x:c>
      <x:c r="S36" s="103" t="n">
        <x:f>ROUND(MAX(Parametros_OPI!$B$16,MIN(Parametros_OPI!$B$17,(M36/100*0.55)+(I36/100*0.20)+(J36/100*0.15)+(K36/100*0.10))),2)</x:f>
        <x:v>0.43</x:v>
      </x:c>
      <x:c r="T36" s="84" t="n">
        <x:f>C36*Parametros_OPI!$B$9+D36*Parametros_OPI!$B$10</x:f>
        <x:v>30690000</x:v>
      </x:c>
      <x:c r="U36" s="84" t="n">
        <x:f>ROUND(T36*S36,0)</x:f>
        <x:v>13196700</x:v>
      </x:c>
      <x:c r="V36" s="82" t="n">
        <x:f>ROUND((U36*Parametros_OPI!$B$15)*IF(N36="Legacy Anchor",2.5,IF(N36="Legacy",2,IF(N36="Prime",1.5,IF(N36="Flow",1.2,1)))),0)</x:f>
        <x:v>158360</x:v>
      </x:c>
      <x:c r="W36" s="84" t="n">
        <x:f>ROUND(B36*Parametros_OPI!$B$11*Parametros_OPI!$B$12*S36,0)</x:f>
        <x:v>799800</x:v>
      </x:c>
      <x:c r="X36" s="84" t="n">
        <x:f>ROUND(B36*Parametros_OPI!$B$13*Parametros_OPI!$B$14*S36,0)</x:f>
        <x:v>233275</x:v>
      </x:c>
      <x:c r="Y36" s="84" t="n">
        <x:f>U36+W36+X36</x:f>
        <x:v>14229775</x:v>
      </x:c>
      <x:c r="Z36" s="69" t="str">
        <x:f>IF(AND(M36&gt;=85,S36&gt;=0.65),"A - Acelerar",IF(AND(M36&gt;=65,S36&gt;=0.45),"B - Desenvolver","C - Nutrir"))</x:f>
        <x:v>C - Nutrir</x:v>
      </x:c>
      <x:c r="AA36" s="69" t="str"/>
      <x:c r="AB36" s="69" t="str">
        <x:v>OK</x:v>
      </x:c>
      <x:c r="AC36" s="69" t="str">
        <x:v>Realinhar contato feito pelo antigo CDM GO</x:v>
      </x:c>
    </x:row>
    <x:row r="37">
      <x:c r="A37" s="69" t="str">
        <x:v>GRUPO RAÍZEN</x:v>
      </x:c>
      <x:c r="B37" s="82" t="n">
        <x:v>1000000</x:v>
      </x:c>
      <x:c r="C37" s="82" t="n">
        <x:v>150000</x:v>
      </x:c>
      <x:c r="D37" s="82" t="n">
        <x:v>850000</x:v>
      </x:c>
      <x:c r="E37" s="69" t="str">
        <x:v>Alta</x:v>
      </x:c>
      <x:c r="F37" s="69" t="str">
        <x:v>Resultados com AURAS positivo. Aguardando resultados com AUBA. Possilidade de repique de fungos.</x:v>
      </x:c>
      <x:c r="G37" s="69" t="str">
        <x:v>Estruturar piloto ORIZON LEGACY como cliente ancora: validacao tecnica 2026, contrato por janela operacional e evolucao plurianual com TCH no ano 1 e Mais Maquinas no ano 2.</x:v>
      </x:c>
      <x:c r="H37" s="83" t="n">
        <x:f>IF(B37&lt;20000,20,IF(B37&lt;50000,40,IF(B37&lt;100000,60,IF(B37&lt;200000,80,100))))</x:f>
        <x:v>100</x:v>
      </x:c>
      <x:c r="I37" s="83" t="n">
        <x:v>55</x:v>
      </x:c>
      <x:c r="J37" s="83" t="n">
        <x:v>90</x:v>
      </x:c>
      <x:c r="K37" s="83" t="n">
        <x:v>35</x:v>
      </x:c>
      <x:c r="L37" s="83" t="n">
        <x:v>100</x:v>
      </x:c>
      <x:c r="M37" s="83" t="n">
        <x:f>ROUND((H37*Parametros_OPI!$B$4)+(I37*Parametros_OPI!$B$5)+(J37*Parametros_OPI!$B$6)+(K37*Parametros_OPI!$B$7)+(L37*Parametros_OPI!$B$8),1)</x:f>
        <x:v>77</x:v>
      </x:c>
      <x:c r="N37" s="69" t="str">
        <x:f>IF(AND(L37&gt;=100,B37&gt;=500000),"Legacy Anchor",IF(OR(M37&gt;=90,AND(L37&gt;=95,B37&gt;=150000)),"Legacy",IF(M37&gt;=70,"Prime",IF(M37&gt;=50,"Flow","Foundation"))))</x:f>
        <x:v>Legacy Anchor</x:v>
      </x:c>
      <x:c r="O37" s="69" t="str">
        <x:f>IF(N37="Legacy Anchor","Cliente âncora",IF(N37="Legacy","Operação estratégica",IF(N37="Prime","Alta performance potencial",IF(N37="Flow","Evolução contínua","Estruturação operacional"))))</x:f>
        <x:v>Cliente âncora</x:v>
      </x:c>
      <x:c r="P37" s="69" t="str">
        <x:v>K0</x:v>
      </x:c>
      <x:c r="Q37" s="102" t="n">
        <x:v>0</x:v>
      </x:c>
      <x:c r="R37" s="69" t="str">
        <x:f>IF(M37&gt;=85,"ICP A",IF(M37&gt;=65,"ICP B","ICP C"))</x:f>
        <x:v>ICP B</x:v>
      </x:c>
      <x:c r="S37" s="103" t="n">
        <x:f>ROUND(MAX(Parametros_OPI!$B$16,MIN(Parametros_OPI!$B$17,(M37/100*0.55)+(I37/100*0.20)+(J37/100*0.15)+(K37/100*0.10))),2)</x:f>
        <x:v>0.7</x:v>
      </x:c>
      <x:c r="T37" s="84" t="n">
        <x:f>C37*Parametros_OPI!$B$9+D37*Parametros_OPI!$B$10</x:f>
        <x:v>198000000</x:v>
      </x:c>
      <x:c r="U37" s="84" t="n">
        <x:f>ROUND(T37*S37,0)</x:f>
        <x:v>138600000</x:v>
      </x:c>
      <x:c r="V37" s="82" t="n">
        <x:f>ROUND((U37*Parametros_OPI!$B$15)*IF(N37="Legacy Anchor",2.5,IF(N37="Legacy",2,IF(N37="Prime",1.5,IF(N37="Flow",1.2,1)))),0)</x:f>
        <x:v>3465000</x:v>
      </x:c>
      <x:c r="W37" s="84" t="n">
        <x:f>ROUND(B37*Parametros_OPI!$B$11*Parametros_OPI!$B$12*S37,0)</x:f>
        <x:v>8400000</x:v>
      </x:c>
      <x:c r="X37" s="84" t="n">
        <x:f>ROUND(B37*Parametros_OPI!$B$13*Parametros_OPI!$B$14*S37,0)</x:f>
        <x:v>2450000</x:v>
      </x:c>
      <x:c r="Y37" s="84" t="n">
        <x:f>U37+W37+X37</x:f>
        <x:v>149450000</x:v>
      </x:c>
      <x:c r="Z37" s="69" t="str">
        <x:f>IF(AND(M37&gt;=85,S37&gt;=0.65),"A - Acelerar",IF(AND(M37&gt;=65,S37&gt;=0.45),"B - Desenvolver","C - Nutrir"))</x:f>
        <x:v>B - Desenvolver</x:v>
      </x:c>
      <x:c r="AA37" s="69" t="str">
        <x:v>Auras, Auba, Fungos</x:v>
      </x:c>
      <x:c r="AB37" s="69" t="str">
        <x:v>OK</x:v>
      </x:c>
      <x:c r="AC37" s="69" t="str">
        <x:v>Estruturar piloto ORIZON LEGACY como cliente ancora: validacao tecnica 2026, contrato por janela operacional e evolucao plurianual com TCH no ano 1 e Mais Maquinas no ano 2.</x:v>
      </x:c>
    </x:row>
    <x:row r="38">
      <x:c r="A38" s="69" t="str">
        <x:v>USINA VIRALCOOL</x:v>
      </x:c>
      <x:c r="B38" s="82" t="n">
        <x:v>40000</x:v>
      </x:c>
      <x:c r="C38" s="82" t="n">
        <x:v>6000</x:v>
      </x:c>
      <x:c r="D38" s="82" t="n">
        <x:v>34000</x:v>
      </x:c>
      <x:c r="E38" s="69" t="str">
        <x:v>Baixa</x:v>
      </x:c>
      <x:c r="F38" s="69" t="str">
        <x:v>Em prospecção inicial.</x:v>
      </x:c>
      <x:c r="G38" s="69" t="str">
        <x:v>Estreitar relacionamento para entrada com novos protocolos na safra 26.</x:v>
      </x:c>
      <x:c r="H38" s="83" t="n">
        <x:f>IF(B38&lt;20000,20,IF(B38&lt;50000,40,IF(B38&lt;100000,60,IF(B38&lt;200000,80,100))))</x:f>
        <x:v>40</x:v>
      </x:c>
      <x:c r="I38" s="83" t="n">
        <x:v>55</x:v>
      </x:c>
      <x:c r="J38" s="83" t="n">
        <x:v>35</x:v>
      </x:c>
      <x:c r="K38" s="83" t="n">
        <x:v>15</x:v>
      </x:c>
      <x:c r="L38" s="83" t="n">
        <x:v>60</x:v>
      </x:c>
      <x:c r="M38" s="83" t="n">
        <x:f>ROUND((H38*Parametros_OPI!$B$4)+(I38*Parametros_OPI!$B$5)+(J38*Parametros_OPI!$B$6)+(K38*Parametros_OPI!$B$7)+(L38*Parametros_OPI!$B$8),1)</x:f>
        <x:v>41</x:v>
      </x:c>
      <x:c r="N38" s="69" t="str">
        <x:f>IF(AND(L38&gt;=100,B38&gt;=500000),"Legacy Anchor",IF(OR(M38&gt;=90,AND(L38&gt;=95,B38&gt;=150000)),"Legacy",IF(M38&gt;=70,"Prime",IF(M38&gt;=50,"Flow","Foundation"))))</x:f>
        <x:v>Foundation</x:v>
      </x:c>
      <x:c r="O38" s="69" t="str">
        <x:f>IF(N38="Legacy Anchor","Cliente âncora",IF(N38="Legacy","Operação estratégica",IF(N38="Prime","Alta performance potencial",IF(N38="Flow","Evolução contínua","Estruturação operacional"))))</x:f>
        <x:v>Estruturação operacional</x:v>
      </x:c>
      <x:c r="P38" s="69" t="str">
        <x:v>K0</x:v>
      </x:c>
      <x:c r="Q38" s="102" t="n">
        <x:v>0</x:v>
      </x:c>
      <x:c r="R38" s="69" t="str">
        <x:f>IF(M38&gt;=85,"ICP A",IF(M38&gt;=65,"ICP B","ICP C"))</x:f>
        <x:v>ICP C</x:v>
      </x:c>
      <x:c r="S38" s="103" t="n">
        <x:f>ROUND(MAX(Parametros_OPI!$B$16,MIN(Parametros_OPI!$B$17,(M38/100*0.55)+(I38/100*0.20)+(J38/100*0.15)+(K38/100*0.10))),2)</x:f>
        <x:v>0.4</x:v>
      </x:c>
      <x:c r="T38" s="84" t="n">
        <x:f>C38*Parametros_OPI!$B$9+D38*Parametros_OPI!$B$10</x:f>
        <x:v>7920000</x:v>
      </x:c>
      <x:c r="U38" s="84" t="n">
        <x:f>ROUND(T38*S38,0)</x:f>
        <x:v>3168000</x:v>
      </x:c>
      <x:c r="V38" s="82" t="n">
        <x:f>ROUND((U38*Parametros_OPI!$B$15)*IF(N38="Legacy Anchor",2.5,IF(N38="Legacy",2,IF(N38="Prime",1.5,IF(N38="Flow",1.2,1)))),0)</x:f>
        <x:v>31680</x:v>
      </x:c>
      <x:c r="W38" s="84" t="n">
        <x:f>ROUND(B38*Parametros_OPI!$B$11*Parametros_OPI!$B$12*S38,0)</x:f>
        <x:v>192000</x:v>
      </x:c>
      <x:c r="X38" s="84" t="n">
        <x:f>ROUND(B38*Parametros_OPI!$B$13*Parametros_OPI!$B$14*S38,0)</x:f>
        <x:v>56000</x:v>
      </x:c>
      <x:c r="Y38" s="84" t="n">
        <x:f>U38+W38+X38</x:f>
        <x:v>3416000</x:v>
      </x:c>
      <x:c r="Z38" s="69" t="str">
        <x:f>IF(AND(M38&gt;=85,S38&gt;=0.65),"A - Acelerar",IF(AND(M38&gt;=65,S38&gt;=0.45),"B - Desenvolver","C - Nutrir"))</x:f>
        <x:v>C - Nutrir</x:v>
      </x:c>
      <x:c r="AA38" s="69" t="str"/>
      <x:c r="AB38" s="69" t="str">
        <x:v>OK</x:v>
      </x:c>
      <x:c r="AC38" s="69" t="str">
        <x:v>Estreitar relacionamento para entrada com novos protocolos na safra 26.</x:v>
      </x:c>
    </x:row>
    <x:row r="39">
      <x:c r="A39" s="69" t="str">
        <x:v>USINA SANTA ISABEL</x:v>
      </x:c>
      <x:c r="B39" s="82" t="n">
        <x:v>90000</x:v>
      </x:c>
      <x:c r="C39" s="82" t="n">
        <x:v>13500</x:v>
      </x:c>
      <x:c r="D39" s="82" t="n">
        <x:v>76500</x:v>
      </x:c>
      <x:c r="E39" s="69" t="str">
        <x:v>Baixa</x:v>
      </x:c>
      <x:c r="F39" s="69" t="str">
        <x:v>Cliente com baixa utilização de biológico, buscar nova oportunidade para instalação de protocolos com Auras.</x:v>
      </x:c>
      <x:c r="G39" s="69" t="str">
        <x:v>Estreitar relacionamento para entrada com novos protocolos na safra 26.</x:v>
      </x:c>
      <x:c r="H39" s="83" t="n">
        <x:f>IF(B39&lt;20000,20,IF(B39&lt;50000,40,IF(B39&lt;100000,60,IF(B39&lt;200000,80,100))))</x:f>
        <x:v>60</x:v>
      </x:c>
      <x:c r="I39" s="83" t="n">
        <x:v>55</x:v>
      </x:c>
      <x:c r="J39" s="83" t="n">
        <x:v>35</x:v>
      </x:c>
      <x:c r="K39" s="83" t="n">
        <x:v>15</x:v>
      </x:c>
      <x:c r="L39" s="83" t="n">
        <x:v>70</x:v>
      </x:c>
      <x:c r="M39" s="83" t="n">
        <x:f>ROUND((H39*Parametros_OPI!$B$4)+(I39*Parametros_OPI!$B$5)+(J39*Parametros_OPI!$B$6)+(K39*Parametros_OPI!$B$7)+(L39*Parametros_OPI!$B$8),1)</x:f>
        <x:v>48</x:v>
      </x:c>
      <x:c r="N39" s="69" t="str">
        <x:f>IF(AND(L39&gt;=100,B39&gt;=500000),"Legacy Anchor",IF(OR(M39&gt;=90,AND(L39&gt;=95,B39&gt;=150000)),"Legacy",IF(M39&gt;=70,"Prime",IF(M39&gt;=50,"Flow","Foundation"))))</x:f>
        <x:v>Foundation</x:v>
      </x:c>
      <x:c r="O39" s="69" t="str">
        <x:f>IF(N39="Legacy Anchor","Cliente âncora",IF(N39="Legacy","Operação estratégica",IF(N39="Prime","Alta performance potencial",IF(N39="Flow","Evolução contínua","Estruturação operacional"))))</x:f>
        <x:v>Estruturação operacional</x:v>
      </x:c>
      <x:c r="P39" s="69" t="str">
        <x:v>K0</x:v>
      </x:c>
      <x:c r="Q39" s="102" t="n">
        <x:v>0</x:v>
      </x:c>
      <x:c r="R39" s="69" t="str">
        <x:f>IF(M39&gt;=85,"ICP A",IF(M39&gt;=65,"ICP B","ICP C"))</x:f>
        <x:v>ICP C</x:v>
      </x:c>
      <x:c r="S39" s="103" t="n">
        <x:f>ROUND(MAX(Parametros_OPI!$B$16,MIN(Parametros_OPI!$B$17,(M39/100*0.55)+(I39/100*0.20)+(J39/100*0.15)+(K39/100*0.10))),2)</x:f>
        <x:v>0.44</x:v>
      </x:c>
      <x:c r="T39" s="84" t="n">
        <x:f>C39*Parametros_OPI!$B$9+D39*Parametros_OPI!$B$10</x:f>
        <x:v>17820000</x:v>
      </x:c>
      <x:c r="U39" s="84" t="n">
        <x:f>ROUND(T39*S39,0)</x:f>
        <x:v>7840800</x:v>
      </x:c>
      <x:c r="V39" s="82" t="n">
        <x:f>ROUND((U39*Parametros_OPI!$B$15)*IF(N39="Legacy Anchor",2.5,IF(N39="Legacy",2,IF(N39="Prime",1.5,IF(N39="Flow",1.2,1)))),0)</x:f>
        <x:v>78408</x:v>
      </x:c>
      <x:c r="W39" s="84" t="n">
        <x:f>ROUND(B39*Parametros_OPI!$B$11*Parametros_OPI!$B$12*S39,0)</x:f>
        <x:v>475200</x:v>
      </x:c>
      <x:c r="X39" s="84" t="n">
        <x:f>ROUND(B39*Parametros_OPI!$B$13*Parametros_OPI!$B$14*S39,0)</x:f>
        <x:v>138600</x:v>
      </x:c>
      <x:c r="Y39" s="84" t="n">
        <x:f>U39+W39+X39</x:f>
        <x:v>8454600</x:v>
      </x:c>
      <x:c r="Z39" s="69" t="str">
        <x:f>IF(AND(M39&gt;=85,S39&gt;=0.65),"A - Acelerar",IF(AND(M39&gt;=65,S39&gt;=0.45),"B - Desenvolver","C - Nutrir"))</x:f>
        <x:v>C - Nutrir</x:v>
      </x:c>
      <x:c r="AA39" s="69" t="str">
        <x:v>Auras</x:v>
      </x:c>
      <x:c r="AB39" s="69" t="str">
        <x:v>OK</x:v>
      </x:c>
      <x:c r="AC39" s="69" t="str">
        <x:v>Estreitar relacionamento para entrada com novos protocolos na safra 26.</x:v>
      </x:c>
    </x:row>
    <x:row r="40">
      <x:c r="A40" s="69" t="str">
        <x:v>USINA SONORA</x:v>
      </x:c>
      <x:c r="B40" s="82" t="n">
        <x:v>30000</x:v>
      </x:c>
      <x:c r="C40" s="82" t="n">
        <x:v>4500</x:v>
      </x:c>
      <x:c r="D40" s="82" t="n">
        <x:v>25500</x:v>
      </x:c>
      <x:c r="E40" s="69" t="str">
        <x:v>Baixa</x:v>
      </x:c>
      <x:c r="F40" s="69" t="str">
        <x:v>Em prospecção inicial. Aguardando para instalação de protocolo com pacote NOOA</x:v>
      </x:c>
      <x:c r="G40" s="69" t="str">
        <x:v>Acompanhamento dos campos previstos para instalação ainda em 25.</x:v>
      </x:c>
      <x:c r="H40" s="83" t="n">
        <x:f>IF(B40&lt;20000,20,IF(B40&lt;50000,40,IF(B40&lt;100000,60,IF(B40&lt;200000,80,100))))</x:f>
        <x:v>40</x:v>
      </x:c>
      <x:c r="I40" s="83" t="n">
        <x:v>55</x:v>
      </x:c>
      <x:c r="J40" s="83" t="n">
        <x:v>30</x:v>
      </x:c>
      <x:c r="K40" s="83" t="n">
        <x:v>15</x:v>
      </x:c>
      <x:c r="L40" s="83" t="n">
        <x:v>50</x:v>
      </x:c>
      <x:c r="M40" s="83" t="n">
        <x:f>ROUND((H40*Parametros_OPI!$B$4)+(I40*Parametros_OPI!$B$5)+(J40*Parametros_OPI!$B$6)+(K40*Parametros_OPI!$B$7)+(L40*Parametros_OPI!$B$8),1)</x:f>
        <x:v>39</x:v>
      </x:c>
      <x:c r="N40" s="69" t="str">
        <x:f>IF(AND(L40&gt;=100,B40&gt;=500000),"Legacy Anchor",IF(OR(M40&gt;=90,AND(L40&gt;=95,B40&gt;=150000)),"Legacy",IF(M40&gt;=70,"Prime",IF(M40&gt;=50,"Flow","Foundation"))))</x:f>
        <x:v>Foundation</x:v>
      </x:c>
      <x:c r="O40" s="69" t="str">
        <x:f>IF(N40="Legacy Anchor","Cliente âncora",IF(N40="Legacy","Operação estratégica",IF(N40="Prime","Alta performance potencial",IF(N40="Flow","Evolução contínua","Estruturação operacional"))))</x:f>
        <x:v>Estruturação operacional</x:v>
      </x:c>
      <x:c r="P40" s="69" t="str">
        <x:v>K0</x:v>
      </x:c>
      <x:c r="Q40" s="102" t="n">
        <x:v>0</x:v>
      </x:c>
      <x:c r="R40" s="69" t="str">
        <x:f>IF(M40&gt;=85,"ICP A",IF(M40&gt;=65,"ICP B","ICP C"))</x:f>
        <x:v>ICP C</x:v>
      </x:c>
      <x:c r="S40" s="103" t="n">
        <x:f>ROUND(MAX(Parametros_OPI!$B$16,MIN(Parametros_OPI!$B$17,(M40/100*0.55)+(I40/100*0.20)+(J40/100*0.15)+(K40/100*0.10))),2)</x:f>
        <x:v>0.38</x:v>
      </x:c>
      <x:c r="T40" s="84" t="n">
        <x:f>C40*Parametros_OPI!$B$9+D40*Parametros_OPI!$B$10</x:f>
        <x:v>5940000</x:v>
      </x:c>
      <x:c r="U40" s="84" t="n">
        <x:f>ROUND(T40*S40,0)</x:f>
        <x:v>2257200</x:v>
      </x:c>
      <x:c r="V40" s="82" t="n">
        <x:f>ROUND((U40*Parametros_OPI!$B$15)*IF(N40="Legacy Anchor",2.5,IF(N40="Legacy",2,IF(N40="Prime",1.5,IF(N40="Flow",1.2,1)))),0)</x:f>
        <x:v>22572</x:v>
      </x:c>
      <x:c r="W40" s="84" t="n">
        <x:f>ROUND(B40*Parametros_OPI!$B$11*Parametros_OPI!$B$12*S40,0)</x:f>
        <x:v>136800</x:v>
      </x:c>
      <x:c r="X40" s="84" t="n">
        <x:f>ROUND(B40*Parametros_OPI!$B$13*Parametros_OPI!$B$14*S40,0)</x:f>
        <x:v>39900</x:v>
      </x:c>
      <x:c r="Y40" s="84" t="n">
        <x:f>U40+W40+X40</x:f>
        <x:v>2433900</x:v>
      </x:c>
      <x:c r="Z40" s="69" t="str">
        <x:f>IF(AND(M40&gt;=85,S40&gt;=0.65),"A - Acelerar",IF(AND(M40&gt;=65,S40&gt;=0.45),"B - Desenvolver","C - Nutrir"))</x:f>
        <x:v>C - Nutrir</x:v>
      </x:c>
      <x:c r="AA40" s="69" t="str"/>
      <x:c r="AB40" s="69" t="str">
        <x:v>OK</x:v>
      </x:c>
      <x:c r="AC40" s="69" t="str">
        <x:v>Acompanhamento dos campos previstos para instalação ainda em 25.</x:v>
      </x:c>
    </x:row>
    <x:row r="41">
      <x:c r="A41" s="69" t="str">
        <x:v>USINA USIBAN</x:v>
      </x:c>
      <x:c r="B41" s="82" t="n">
        <x:v>20000</x:v>
      </x:c>
      <x:c r="C41" s="82" t="n">
        <x:v>3000</x:v>
      </x:c>
      <x:c r="D41" s="82" t="n">
        <x:v>17000</x:v>
      </x:c>
      <x:c r="E41" s="69" t="str">
        <x:v>Média</x:v>
      </x:c>
      <x:c r="F41" s="69" t="str">
        <x:v>Em prospecção inicial. Protocolo de Auras instalado em 25.</x:v>
      </x:c>
      <x:c r="G41" s="69" t="str">
        <x:v>Acompanhamento do campo em corte de soqueira e buscar novas oportunidades para plantio em 26.</x:v>
      </x:c>
      <x:c r="H41" s="83" t="n">
        <x:f>IF(B41&lt;20000,20,IF(B41&lt;50000,40,IF(B41&lt;100000,60,IF(B41&lt;200000,80,100))))</x:f>
        <x:v>40</x:v>
      </x:c>
      <x:c r="I41" s="83" t="n">
        <x:v>55</x:v>
      </x:c>
      <x:c r="J41" s="83" t="n">
        <x:v>50</x:v>
      </x:c>
      <x:c r="K41" s="83" t="n">
        <x:v>15</x:v>
      </x:c>
      <x:c r="L41" s="83" t="n">
        <x:v>50</x:v>
      </x:c>
      <x:c r="M41" s="83" t="n">
        <x:f>ROUND((H41*Parametros_OPI!$B$4)+(I41*Parametros_OPI!$B$5)+(J41*Parametros_OPI!$B$6)+(K41*Parametros_OPI!$B$7)+(L41*Parametros_OPI!$B$8),1)</x:f>
        <x:v>43</x:v>
      </x:c>
      <x:c r="N41" s="69" t="str">
        <x:f>IF(AND(L41&gt;=100,B41&gt;=500000),"Legacy Anchor",IF(OR(M41&gt;=90,AND(L41&gt;=95,B41&gt;=150000)),"Legacy",IF(M41&gt;=70,"Prime",IF(M41&gt;=50,"Flow","Foundation"))))</x:f>
        <x:v>Foundation</x:v>
      </x:c>
      <x:c r="O41" s="69" t="str">
        <x:f>IF(N41="Legacy Anchor","Cliente âncora",IF(N41="Legacy","Operação estratégica",IF(N41="Prime","Alta performance potencial",IF(N41="Flow","Evolução contínua","Estruturação operacional"))))</x:f>
        <x:v>Estruturação operacional</x:v>
      </x:c>
      <x:c r="P41" s="69" t="str">
        <x:v>K0</x:v>
      </x:c>
      <x:c r="Q41" s="102" t="n">
        <x:v>0</x:v>
      </x:c>
      <x:c r="R41" s="69" t="str">
        <x:f>IF(M41&gt;=85,"ICP A",IF(M41&gt;=65,"ICP B","ICP C"))</x:f>
        <x:v>ICP C</x:v>
      </x:c>
      <x:c r="S41" s="103" t="n">
        <x:f>ROUND(MAX(Parametros_OPI!$B$16,MIN(Parametros_OPI!$B$17,(M41/100*0.55)+(I41/100*0.20)+(J41/100*0.15)+(K41/100*0.10))),2)</x:f>
        <x:v>0.44</x:v>
      </x:c>
      <x:c r="T41" s="84" t="n">
        <x:f>C41*Parametros_OPI!$B$9+D41*Parametros_OPI!$B$10</x:f>
        <x:v>3960000</x:v>
      </x:c>
      <x:c r="U41" s="84" t="n">
        <x:f>ROUND(T41*S41,0)</x:f>
        <x:v>1742400</x:v>
      </x:c>
      <x:c r="V41" s="82" t="n">
        <x:f>ROUND((U41*Parametros_OPI!$B$15)*IF(N41="Legacy Anchor",2.5,IF(N41="Legacy",2,IF(N41="Prime",1.5,IF(N41="Flow",1.2,1)))),0)</x:f>
        <x:v>17424</x:v>
      </x:c>
      <x:c r="W41" s="84" t="n">
        <x:f>ROUND(B41*Parametros_OPI!$B$11*Parametros_OPI!$B$12*S41,0)</x:f>
        <x:v>105600</x:v>
      </x:c>
      <x:c r="X41" s="84" t="n">
        <x:f>ROUND(B41*Parametros_OPI!$B$13*Parametros_OPI!$B$14*S41,0)</x:f>
        <x:v>30800</x:v>
      </x:c>
      <x:c r="Y41" s="84" t="n">
        <x:f>U41+W41+X41</x:f>
        <x:v>1878800</x:v>
      </x:c>
      <x:c r="Z41" s="69" t="str">
        <x:f>IF(AND(M41&gt;=85,S41&gt;=0.65),"A - Acelerar",IF(AND(M41&gt;=65,S41&gt;=0.45),"B - Desenvolver","C - Nutrir"))</x:f>
        <x:v>C - Nutrir</x:v>
      </x:c>
      <x:c r="AA41" s="69" t="str">
        <x:v>Auras</x:v>
      </x:c>
      <x:c r="AB41" s="69" t="str">
        <x:v>OK</x:v>
      </x:c>
      <x:c r="AC41" s="69" t="str">
        <x:v>Acompanhamento do campo em corte de soqueira e buscar novas oportunidades para plantio em 26.</x:v>
      </x:c>
    </x:row>
    <x:row r="42">
      <x:c r="A42" s="69" t="str">
        <x:v>USINA CERRADINHO BIO</x:v>
      </x:c>
      <x:c r="B42" s="82" t="n">
        <x:v>115000</x:v>
      </x:c>
      <x:c r="C42" s="82" t="n">
        <x:v>17250</x:v>
      </x:c>
      <x:c r="D42" s="82" t="n">
        <x:v>97750</x:v>
      </x:c>
      <x:c r="E42" s="69" t="str">
        <x:v>Baixa</x:v>
      </x:c>
      <x:c r="F42" s="69" t="str">
        <x:v>Em prospecção inicial. Aguardando para instalação de protocolo com pacote NOOA</x:v>
      </x:c>
      <x:c r="G42" s="69" t="str">
        <x:v>Acompanhamento dos campos previstos para instalação ainda em 25.</x:v>
      </x:c>
      <x:c r="H42" s="83" t="n">
        <x:f>IF(B42&lt;20000,20,IF(B42&lt;50000,40,IF(B42&lt;100000,60,IF(B42&lt;200000,80,100))))</x:f>
        <x:v>80</x:v>
      </x:c>
      <x:c r="I42" s="83" t="n">
        <x:v>55</x:v>
      </x:c>
      <x:c r="J42" s="83" t="n">
        <x:v>30</x:v>
      </x:c>
      <x:c r="K42" s="83" t="n">
        <x:v>15</x:v>
      </x:c>
      <x:c r="L42" s="83" t="n">
        <x:v>85</x:v>
      </x:c>
      <x:c r="M42" s="83" t="n">
        <x:f>ROUND((H42*Parametros_OPI!$B$4)+(I42*Parametros_OPI!$B$5)+(J42*Parametros_OPI!$B$6)+(K42*Parametros_OPI!$B$7)+(L42*Parametros_OPI!$B$8),1)</x:f>
        <x:v>54.5</x:v>
      </x:c>
      <x:c r="N42" s="69" t="str">
        <x:f>IF(AND(L42&gt;=100,B42&gt;=500000),"Legacy Anchor",IF(OR(M42&gt;=90,AND(L42&gt;=95,B42&gt;=150000)),"Legacy",IF(M42&gt;=70,"Prime",IF(M42&gt;=50,"Flow","Foundation"))))</x:f>
        <x:v>Flow</x:v>
      </x:c>
      <x:c r="O42" s="69" t="str">
        <x:f>IF(N42="Legacy Anchor","Cliente âncora",IF(N42="Legacy","Operação estratégica",IF(N42="Prime","Alta performance potencial",IF(N42="Flow","Evolução contínua","Estruturação operacional"))))</x:f>
        <x:v>Evolução contínua</x:v>
      </x:c>
      <x:c r="P42" s="69" t="str">
        <x:v>K0</x:v>
      </x:c>
      <x:c r="Q42" s="102" t="n">
        <x:v>0</x:v>
      </x:c>
      <x:c r="R42" s="69" t="str">
        <x:f>IF(M42&gt;=85,"ICP A",IF(M42&gt;=65,"ICP B","ICP C"))</x:f>
        <x:v>ICP C</x:v>
      </x:c>
      <x:c r="S42" s="103" t="n">
        <x:f>ROUND(MAX(Parametros_OPI!$B$16,MIN(Parametros_OPI!$B$17,(M42/100*0.55)+(I42/100*0.20)+(J42/100*0.15)+(K42/100*0.10))),2)</x:f>
        <x:v>0.47</x:v>
      </x:c>
      <x:c r="T42" s="84" t="n">
        <x:f>C42*Parametros_OPI!$B$9+D42*Parametros_OPI!$B$10</x:f>
        <x:v>22770000</x:v>
      </x:c>
      <x:c r="U42" s="84" t="n">
        <x:f>ROUND(T42*S42,0)</x:f>
        <x:v>10701900</x:v>
      </x:c>
      <x:c r="V42" s="82" t="n">
        <x:f>ROUND((U42*Parametros_OPI!$B$15)*IF(N42="Legacy Anchor",2.5,IF(N42="Legacy",2,IF(N42="Prime",1.5,IF(N42="Flow",1.2,1)))),0)</x:f>
        <x:v>128423</x:v>
      </x:c>
      <x:c r="W42" s="84" t="n">
        <x:f>ROUND(B42*Parametros_OPI!$B$11*Parametros_OPI!$B$12*S42,0)</x:f>
        <x:v>648600</x:v>
      </x:c>
      <x:c r="X42" s="84" t="n">
        <x:f>ROUND(B42*Parametros_OPI!$B$13*Parametros_OPI!$B$14*S42,0)</x:f>
        <x:v>189175</x:v>
      </x:c>
      <x:c r="Y42" s="84" t="n">
        <x:f>U42+W42+X42</x:f>
        <x:v>11539675</x:v>
      </x:c>
      <x:c r="Z42" s="69" t="str">
        <x:f>IF(AND(M42&gt;=85,S42&gt;=0.65),"A - Acelerar",IF(AND(M42&gt;=65,S42&gt;=0.45),"B - Desenvolver","C - Nutrir"))</x:f>
        <x:v>C - Nutrir</x:v>
      </x:c>
      <x:c r="AA42" s="69" t="str"/>
      <x:c r="AB42" s="69" t="str">
        <x:v>OK</x:v>
      </x:c>
      <x:c r="AC42" s="69" t="str">
        <x:v>Acompanhamento dos campos previstos para instalação ainda em 25.</x:v>
      </x:c>
    </x:row>
    <x:row r="43">
      <x:c r="A43" s="69" t="str">
        <x:v>USINA ALCON</x:v>
      </x:c>
      <x:c r="B43" s="82" t="n">
        <x:v>15000</x:v>
      </x:c>
      <x:c r="C43" s="82" t="n">
        <x:v>2250</x:v>
      </x:c>
      <x:c r="D43" s="82" t="n">
        <x:v>12750</x:v>
      </x:c>
      <x:c r="E43" s="69" t="str">
        <x:v>Alta</x:v>
      </x:c>
      <x:c r="F43" s="69" t="str">
        <x:v>Cliente utilizou pacote NOOA. Auras, Auba e Tritter. Buscar novas oportunidades para com biofungicida</x:v>
      </x:c>
      <x:c r="G43" s="69" t="str">
        <x:v>Fazer visita as áreas semi-comerciais e entender melhor o manejo do cliente.</x:v>
      </x:c>
      <x:c r="H43" s="83" t="n">
        <x:f>IF(B43&lt;20000,20,IF(B43&lt;50000,40,IF(B43&lt;100000,60,IF(B43&lt;200000,80,100))))</x:f>
        <x:v>20</x:v>
      </x:c>
      <x:c r="I43" s="83" t="n">
        <x:v>85</x:v>
      </x:c>
      <x:c r="J43" s="83" t="n">
        <x:v>85</x:v>
      </x:c>
      <x:c r="K43" s="83" t="n">
        <x:v>48</x:v>
      </x:c>
      <x:c r="L43" s="83" t="n">
        <x:v>50</x:v>
      </x:c>
      <x:c r="M43" s="83" t="n">
        <x:f>ROUND((H43*Parametros_OPI!$B$4)+(I43*Parametros_OPI!$B$5)+(J43*Parametros_OPI!$B$6)+(K43*Parametros_OPI!$B$7)+(L43*Parametros_OPI!$B$8),1)</x:f>
        <x:v>56.5</x:v>
      </x:c>
      <x:c r="N43" s="69" t="str">
        <x:f>IF(AND(L43&gt;=100,B43&gt;=500000),"Legacy Anchor",IF(OR(M43&gt;=90,AND(L43&gt;=95,B43&gt;=150000)),"Legacy",IF(M43&gt;=70,"Prime",IF(M43&gt;=50,"Flow","Foundation"))))</x:f>
        <x:v>Flow</x:v>
      </x:c>
      <x:c r="O43" s="69" t="str">
        <x:f>IF(N43="Legacy Anchor","Cliente âncora",IF(N43="Legacy","Operação estratégica",IF(N43="Prime","Alta performance potencial",IF(N43="Flow","Evolução contínua","Estruturação operacional"))))</x:f>
        <x:v>Evolução contínua</x:v>
      </x:c>
      <x:c r="P43" s="69" t="str">
        <x:v>K0</x:v>
      </x:c>
      <x:c r="Q43" s="102" t="n">
        <x:v>0</x:v>
      </x:c>
      <x:c r="R43" s="69" t="str">
        <x:f>IF(M43&gt;=85,"ICP A",IF(M43&gt;=65,"ICP B","ICP C"))</x:f>
        <x:v>ICP C</x:v>
      </x:c>
      <x:c r="S43" s="103" t="n">
        <x:f>ROUND(MAX(Parametros_OPI!$B$16,MIN(Parametros_OPI!$B$17,(M43/100*0.55)+(I43/100*0.20)+(J43/100*0.15)+(K43/100*0.10))),2)</x:f>
        <x:v>0.66</x:v>
      </x:c>
      <x:c r="T43" s="84" t="n">
        <x:f>C43*Parametros_OPI!$B$9+D43*Parametros_OPI!$B$10</x:f>
        <x:v>2970000</x:v>
      </x:c>
      <x:c r="U43" s="84" t="n">
        <x:f>ROUND(T43*S43,0)</x:f>
        <x:v>1960200</x:v>
      </x:c>
      <x:c r="V43" s="82" t="n">
        <x:f>ROUND((U43*Parametros_OPI!$B$15)*IF(N43="Legacy Anchor",2.5,IF(N43="Legacy",2,IF(N43="Prime",1.5,IF(N43="Flow",1.2,1)))),0)</x:f>
        <x:v>23522</x:v>
      </x:c>
      <x:c r="W43" s="84" t="n">
        <x:f>ROUND(B43*Parametros_OPI!$B$11*Parametros_OPI!$B$12*S43,0)</x:f>
        <x:v>118800</x:v>
      </x:c>
      <x:c r="X43" s="84" t="n">
        <x:f>ROUND(B43*Parametros_OPI!$B$13*Parametros_OPI!$B$14*S43,0)</x:f>
        <x:v>34650</x:v>
      </x:c>
      <x:c r="Y43" s="84" t="n">
        <x:f>U43+W43+X43</x:f>
        <x:v>2113650</x:v>
      </x:c>
      <x:c r="Z43" s="69" t="str">
        <x:f>IF(AND(M43&gt;=85,S43&gt;=0.65),"A - Acelerar",IF(AND(M43&gt;=65,S43&gt;=0.45),"B - Desenvolver","C - Nutrir"))</x:f>
        <x:v>C - Nutrir</x:v>
      </x:c>
      <x:c r="AA43" s="69" t="str">
        <x:v>Auras, Auba, Tritter, Fungos</x:v>
      </x:c>
      <x:c r="AB43" s="69" t="str">
        <x:v>OK</x:v>
      </x:c>
      <x:c r="AC43" s="69" t="str">
        <x:v>Fazer visita as áreas semi-comerciais e entender melhor o manejo do cliente.</x:v>
      </x:c>
    </x:row>
    <x:row r="44">
      <x:c r="A44" s="69" t="str">
        <x:v>USINA IPIRANGA</x:v>
      </x:c>
      <x:c r="B44" s="82" t="n">
        <x:v>200000</x:v>
      </x:c>
      <x:c r="C44" s="82" t="n">
        <x:v>30000</x:v>
      </x:c>
      <x:c r="D44" s="82" t="n">
        <x:v>170000</x:v>
      </x:c>
      <x:c r="E44" s="69" t="str">
        <x:v>Média</x:v>
      </x:c>
      <x:c r="F44" s="69" t="str">
        <x:v>Áreas de AGD instaladas. Aguardando novas oportunidades para instalar novos ensaios.</x:v>
      </x:c>
      <x:c r="G44" s="69" t="str">
        <x:v>Acompanhamento do campo em corte de soqueira e buscar novas oportunidades para plantio em 26.</x:v>
      </x:c>
      <x:c r="H44" s="83" t="n">
        <x:f>IF(B44&lt;20000,20,IF(B44&lt;50000,40,IF(B44&lt;100000,60,IF(B44&lt;200000,80,100))))</x:f>
        <x:v>100</x:v>
      </x:c>
      <x:c r="I44" s="83" t="n">
        <x:v>40</x:v>
      </x:c>
      <x:c r="J44" s="83" t="n">
        <x:v>50</x:v>
      </x:c>
      <x:c r="K44" s="83" t="n">
        <x:v>15</x:v>
      </x:c>
      <x:c r="L44" s="83" t="n">
        <x:v>95</x:v>
      </x:c>
      <x:c r="M44" s="83" t="n">
        <x:f>ROUND((H44*Parametros_OPI!$B$4)+(I44*Parametros_OPI!$B$5)+(J44*Parametros_OPI!$B$6)+(K44*Parametros_OPI!$B$7)+(L44*Parametros_OPI!$B$8),1)</x:f>
        <x:v>61.8</x:v>
      </x:c>
      <x:c r="N44" s="69" t="str">
        <x:f>IF(AND(L44&gt;=100,B44&gt;=500000),"Legacy Anchor",IF(OR(M44&gt;=90,AND(L44&gt;=95,B44&gt;=150000)),"Legacy",IF(M44&gt;=70,"Prime",IF(M44&gt;=50,"Flow","Foundation"))))</x:f>
        <x:v>Legacy</x:v>
      </x:c>
      <x:c r="O44" s="69" t="str">
        <x:f>IF(N44="Legacy Anchor","Cliente âncora",IF(N44="Legacy","Operação estratégica",IF(N44="Prime","Alta performance potencial",IF(N44="Flow","Evolução contínua","Estruturação operacional"))))</x:f>
        <x:v>Operação estratégica</x:v>
      </x:c>
      <x:c r="P44" s="69" t="str">
        <x:v>K0</x:v>
      </x:c>
      <x:c r="Q44" s="102" t="n">
        <x:v>0</x:v>
      </x:c>
      <x:c r="R44" s="69" t="str">
        <x:f>IF(M44&gt;=85,"ICP A",IF(M44&gt;=65,"ICP B","ICP C"))</x:f>
        <x:v>ICP C</x:v>
      </x:c>
      <x:c r="S44" s="103" t="n">
        <x:f>ROUND(MAX(Parametros_OPI!$B$16,MIN(Parametros_OPI!$B$17,(M44/100*0.55)+(I44/100*0.20)+(J44/100*0.15)+(K44/100*0.10))),2)</x:f>
        <x:v>0.51</x:v>
      </x:c>
      <x:c r="T44" s="84" t="n">
        <x:f>C44*Parametros_OPI!$B$9+D44*Parametros_OPI!$B$10</x:f>
        <x:v>39600000</x:v>
      </x:c>
      <x:c r="U44" s="84" t="n">
        <x:f>ROUND(T44*S44,0)</x:f>
        <x:v>20196000</x:v>
      </x:c>
      <x:c r="V44" s="82" t="n">
        <x:f>ROUND((U44*Parametros_OPI!$B$15)*IF(N44="Legacy Anchor",2.5,IF(N44="Legacy",2,IF(N44="Prime",1.5,IF(N44="Flow",1.2,1)))),0)</x:f>
        <x:v>403920</x:v>
      </x:c>
      <x:c r="W44" s="84" t="n">
        <x:f>ROUND(B44*Parametros_OPI!$B$11*Parametros_OPI!$B$12*S44,0)</x:f>
        <x:v>1224000</x:v>
      </x:c>
      <x:c r="X44" s="84" t="n">
        <x:f>ROUND(B44*Parametros_OPI!$B$13*Parametros_OPI!$B$14*S44,0)</x:f>
        <x:v>357000</x:v>
      </x:c>
      <x:c r="Y44" s="84" t="n">
        <x:f>U44+W44+X44</x:f>
        <x:v>21777000</x:v>
      </x:c>
      <x:c r="Z44" s="69" t="str">
        <x:f>IF(AND(M44&gt;=85,S44&gt;=0.65),"A - Acelerar",IF(AND(M44&gt;=65,S44&gt;=0.45),"B - Desenvolver","C - Nutrir"))</x:f>
        <x:v>C - Nutrir</x:v>
      </x:c>
      <x:c r="AA44" s="69" t="str"/>
      <x:c r="AB44" s="69" t="str">
        <x:v>OK</x:v>
      </x:c>
      <x:c r="AC44" s="69" t="str">
        <x:v>Acompanhamento do campo em corte de soqueira e buscar novas oportunidades para plantio em 26.</x:v>
      </x:c>
    </x:row>
    <x:row r="45">
      <x:c r="A45" s="69" t="str">
        <x:v>USINA UBERABA</x:v>
      </x:c>
      <x:c r="B45" s="82" t="n">
        <x:v>40000</x:v>
      </x:c>
      <x:c r="C45" s="82" t="n">
        <x:v>6000</x:v>
      </x:c>
      <x:c r="D45" s="82" t="n">
        <x:v>34000</x:v>
      </x:c>
      <x:c r="E45" s="69" t="str">
        <x:v>Baixa</x:v>
      </x:c>
      <x:c r="F45" s="69" t="str">
        <x:v>Áreas semi - comerciais - 200 ha de Auras</x:v>
      </x:c>
      <x:c r="G45" s="69" t="str">
        <x:v>Acompanhar áreas semi comerciais e intensificar interação</x:v>
      </x:c>
      <x:c r="H45" s="83" t="n">
        <x:f>IF(B45&lt;20000,20,IF(B45&lt;50000,40,IF(B45&lt;100000,60,IF(B45&lt;200000,80,100))))</x:f>
        <x:v>40</x:v>
      </x:c>
      <x:c r="I45" s="83" t="n">
        <x:v>80</x:v>
      </x:c>
      <x:c r="J45" s="83" t="n">
        <x:v>30</x:v>
      </x:c>
      <x:c r="K45" s="83" t="n">
        <x:v>15</x:v>
      </x:c>
      <x:c r="L45" s="83" t="n">
        <x:v>60</x:v>
      </x:c>
      <x:c r="M45" s="83" t="n">
        <x:f>ROUND((H45*Parametros_OPI!$B$4)+(I45*Parametros_OPI!$B$5)+(J45*Parametros_OPI!$B$6)+(K45*Parametros_OPI!$B$7)+(L45*Parametros_OPI!$B$8),1)</x:f>
        <x:v>46.3</x:v>
      </x:c>
      <x:c r="N45" s="69" t="str">
        <x:f>IF(AND(L45&gt;=100,B45&gt;=500000),"Legacy Anchor",IF(OR(M45&gt;=90,AND(L45&gt;=95,B45&gt;=150000)),"Legacy",IF(M45&gt;=70,"Prime",IF(M45&gt;=50,"Flow","Foundation"))))</x:f>
        <x:v>Foundation</x:v>
      </x:c>
      <x:c r="O45" s="69" t="str">
        <x:f>IF(N45="Legacy Anchor","Cliente âncora",IF(N45="Legacy","Operação estratégica",IF(N45="Prime","Alta performance potencial",IF(N45="Flow","Evolução contínua","Estruturação operacional"))))</x:f>
        <x:v>Estruturação operacional</x:v>
      </x:c>
      <x:c r="P45" s="69" t="str">
        <x:v>K0</x:v>
      </x:c>
      <x:c r="Q45" s="102" t="n">
        <x:v>0</x:v>
      </x:c>
      <x:c r="R45" s="69" t="str">
        <x:f>IF(M45&gt;=85,"ICP A",IF(M45&gt;=65,"ICP B","ICP C"))</x:f>
        <x:v>ICP C</x:v>
      </x:c>
      <x:c r="S45" s="103" t="n">
        <x:f>ROUND(MAX(Parametros_OPI!$B$16,MIN(Parametros_OPI!$B$17,(M45/100*0.55)+(I45/100*0.20)+(J45/100*0.15)+(K45/100*0.10))),2)</x:f>
        <x:v>0.47</x:v>
      </x:c>
      <x:c r="T45" s="84" t="n">
        <x:f>C45*Parametros_OPI!$B$9+D45*Parametros_OPI!$B$10</x:f>
        <x:v>7920000</x:v>
      </x:c>
      <x:c r="U45" s="84" t="n">
        <x:f>ROUND(T45*S45,0)</x:f>
        <x:v>3722400</x:v>
      </x:c>
      <x:c r="V45" s="82" t="n">
        <x:f>ROUND((U45*Parametros_OPI!$B$15)*IF(N45="Legacy Anchor",2.5,IF(N45="Legacy",2,IF(N45="Prime",1.5,IF(N45="Flow",1.2,1)))),0)</x:f>
        <x:v>37224</x:v>
      </x:c>
      <x:c r="W45" s="84" t="n">
        <x:f>ROUND(B45*Parametros_OPI!$B$11*Parametros_OPI!$B$12*S45,0)</x:f>
        <x:v>225600</x:v>
      </x:c>
      <x:c r="X45" s="84" t="n">
        <x:f>ROUND(B45*Parametros_OPI!$B$13*Parametros_OPI!$B$14*S45,0)</x:f>
        <x:v>65800</x:v>
      </x:c>
      <x:c r="Y45" s="84" t="n">
        <x:f>U45+W45+X45</x:f>
        <x:v>4013800</x:v>
      </x:c>
      <x:c r="Z45" s="69" t="str">
        <x:f>IF(AND(M45&gt;=85,S45&gt;=0.65),"A - Acelerar",IF(AND(M45&gt;=65,S45&gt;=0.45),"B - Desenvolver","C - Nutrir"))</x:f>
        <x:v>C - Nutrir</x:v>
      </x:c>
      <x:c r="AA45" s="69" t="str">
        <x:v>Auras</x:v>
      </x:c>
      <x:c r="AB45" s="69" t="str">
        <x:v>OK</x:v>
      </x:c>
      <x:c r="AC45" s="69" t="str">
        <x:v>Acompanhar áreas semi comerciais e intensificar interação</x:v>
      </x:c>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conditionalFormatting sqref="M2:M45">
    <x:cfRule type="colorScale" priority="1">
      <x:colorScale>
        <x:cfvo type="min"/>
        <x:cfvo type="percentile" val="50"/>
        <x:cfvo type="max"/>
        <x:color rgb="FEE2E2"/>
        <x:color rgb="FEF3C7"/>
        <x:color rgb="DCFCE7"/>
      </x:colorScale>
    </x:cfRule>
  </x:conditionalFormatting>
  <x:conditionalFormatting sqref="S2:S45">
    <x:cfRule type="dataBar" priority="2">
      <x:dataBar>
        <x:cfvo type="min"/>
        <x:cfvo type="max"/>
        <x:color rgb="1F7A3A"/>
      </x:dataBar>
      <x:extLst>
        <x:ext xmlns:x14="http://schemas.microsoft.com/office/spreadsheetml/2009/9/main" uri="{B025F937-C7B1-47D3-B67F-A62EFF666E3E}">
          <x14:id>{9C2FD306-8EB1-81E4-D0E5-C22ABEC4144C}</x14:id>
        </x:ext>
      </x:extLst>
    </x:cfRule>
  </x:conditionalFormatting>
  <x:conditionalFormatting sqref="Y2:Y45">
    <x:cfRule type="dataBar" priority="3">
      <x:dataBar>
        <x:cfvo type="min"/>
        <x:cfvo type="max"/>
        <x:color rgb="C9A227"/>
      </x:dataBar>
      <x:extLst>
        <x:ext xmlns:x14="http://schemas.microsoft.com/office/spreadsheetml/2009/9/main" uri="{B025F937-C7B1-47D3-B67F-A62EFF666E3E}">
          <x14:id>{1820C711-B97F-39E7-C2E3-7F2B02ABAD55}</x14:id>
        </x:ext>
      </x:extLst>
    </x:cfRule>
  </x:conditionalFormatting>
  <x:conditionalFormatting sqref="N2:N45">
    <x:cfRule type="expression" dxfId="0" priority="4">
      <x:formula>N2="Legacy Anchor"</x:formula>
    </x:cfRule>
    <x:cfRule type="expression" dxfId="1" priority="5">
      <x:formula>N2="Legacy"</x:formula>
    </x:cfRule>
    <x:cfRule type="expression" dxfId="2" priority="6">
      <x:formula>N2="Prime"</x:formula>
    </x:cfRule>
    <x:cfRule type="expression" dxfId="3" priority="7">
      <x:formula>N2="Flow"</x:formula>
    </x:cfRule>
  </x:conditionalFormatting>
  <x:conditionalFormatting sqref="AB2:AB45">
    <x:cfRule type="expression" dxfId="4" priority="8">
      <x:formula>LEFT(AB2,7)="Revisar"</x:formula>
    </x:cfRule>
  </x:conditionalFormatting>
  <x:pageMargins left="0.7" right="0.7" top="0.75" bottom="0.75" header="0.3" footer="0.3"/>
  <x:tableParts count="1">
    <x:tablePart xmlns:r="http://schemas.openxmlformats.org/officeDocument/2006/relationships" r:id="Rd534c4d787794d75"/>
  </x:tableParts>
  <x:extLst>
    <x:ext xmlns:x14="http://schemas.microsoft.com/office/spreadsheetml/2009/9/main" xmlns:xm="http://schemas.microsoft.com/office/excel/2006/main" uri="{78C0D931-6437-407d-A8EE-F0AAD7539E65}">
      <x14:conditionalFormattings>
        <x14:conditionalFormatting>
          <x14:cfRule type="dataBar" priority="2" id="{9C2FD306-8EB1-81E4-D0E5-C22ABEC4144C}">
            <x14:dataBar gradient="1">
              <x14:cfvo type="min"/>
              <x14:cfvo type="max"/>
              <x14:fillColor rgb="1F7A3A"/>
            </x14:dataBar>
          </x14:cfRule>
          <xm:sqref>S2:S45</xm:sqref>
        </x14:conditionalFormatting>
        <x14:conditionalFormatting>
          <x14:cfRule type="dataBar" priority="3" id="{1820C711-B97F-39E7-C2E3-7F2B02ABAD55}">
            <x14:dataBar gradient="1">
              <x14:cfvo type="min"/>
              <x14:cfvo type="max"/>
              <x14:fillColor rgb="C9A227"/>
            </x14:dataBar>
          </x14:cfRule>
          <xm:sqref>Y2:Y45</xm:sqref>
        </x14:conditionalFormatting>
      </x14:conditionalFormattings>
    </x:ext>
  </x:extLst>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0" hidden="0" customWidth="1"/>
    <x:col min="18" max="18" width="18" hidden="0" customWidth="1"/>
    <x:col min="19" max="19" width="18" hidden="0" customWidth="1"/>
  </x:cols>
  <x:sheetData>
    <x:row r="1">
      <x:c r="A1" s="68" t="str">
        <x:v>Resumo Executivo e Bases para Gráficos Dinâmicos</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7" t="str">
        <x:v>Categoria</x:v>
      </x:c>
      <x:c r="B3" s="77" t="str">
        <x:v>Clientes</x:v>
      </x:c>
      <x:c r="C3" s="77" t="str">
        <x:v>Área ha</x:v>
      </x:c>
      <x:c r="D3" s="77" t="str">
        <x:v>Potencial Ecossistema R$</x:v>
      </x:c>
      <x:c r="E3" s="77" t="str">
        <x:v>Créditos potenciais</x:v>
      </x:c>
      <x:c r="F3" s="77" t="str">
        <x:v>OPI médio</x:v>
      </x:c>
      <x:c r="G3" s="77" t="str">
        <x:v>Prob. média</x:v>
      </x:c>
      <x:c r="H3" s="77" t="str">
        <x:v>% Carteira</x:v>
      </x:c>
      <x:c r="I3" s="69"/>
      <x:c r="J3" s="77" t="str">
        <x:v>Top Cliente</x:v>
      </x:c>
      <x:c r="K3" s="77" t="str">
        <x:v>Área ha</x:v>
      </x:c>
      <x:c r="L3" s="77" t="str">
        <x:v>OPI</x:v>
      </x:c>
      <x:c r="M3" s="77" t="str">
        <x:v>Categoria</x:v>
      </x:c>
      <x:c r="N3" s="77" t="str">
        <x:v>Prob.</x:v>
      </x:c>
      <x:c r="O3" s="77" t="str">
        <x:v>Potencial Ecossistema R$</x:v>
      </x:c>
      <x:c r="P3" s="77" t="str">
        <x:v>Produtos</x:v>
      </x:c>
      <x:c r="Q3" s="69"/>
      <x:c r="R3" s="77" t="str">
        <x:v>Produto/Frente</x:v>
      </x:c>
      <x:c r="S3" s="77" t="str">
        <x:v>Clientes mapeados</x:v>
      </x:c>
      <x:c r="T3" s="69"/>
      <x:c r="U3" s="69"/>
      <x:c r="V3" s="69"/>
      <x:c r="W3" s="69"/>
      <x:c r="X3" s="69"/>
      <x:c r="Y3" s="69"/>
      <x:c r="Z3" s="69"/>
      <x:c r="AA3" s="69"/>
      <x:c r="AB3" s="69"/>
      <x:c r="AC3" s="69"/>
    </x:row>
    <x:row r="4">
      <x:c r="A4" s="69" t="str">
        <x:v>Foundation</x:v>
      </x:c>
      <x:c r="B4" s="69" t="n">
        <x:f>COUNTIF(Clientes_Orizon_V2!$N:$N,A4)</x:f>
        <x:v>19</x:v>
      </x:c>
      <x:c r="C4" s="82" t="n">
        <x:f>SUMIF(Clientes_Orizon_V2!$N:$N,A4,Clientes_Orizon_V2!$B:$B)</x:f>
        <x:v>659000</x:v>
      </x:c>
      <x:c r="D4" s="84" t="n">
        <x:f>SUMIF(Clientes_Orizon_V2!$N:$N,A4,Clientes_Orizon_V2!$Y:$Y)</x:f>
        <x:v>59103205</x:v>
      </x:c>
      <x:c r="E4" s="84" t="n">
        <x:f>SUMIF(Clientes_Orizon_V2!$N:$N,A4,Clientes_Orizon_V2!$V:$V)</x:f>
        <x:v>548124</x:v>
      </x:c>
      <x:c r="F4" s="83" t="n">
        <x:f>IFERROR(AVERAGEIF(Clientes_Orizon_V2!$N:$N,A4,Clientes_Orizon_V2!$M:$M),0)</x:f>
        <x:v>42.373684210526314</x:v>
      </x:c>
      <x:c r="G4" s="103" t="n">
        <x:f>IFERROR(AVERAGEIF(Clientes_Orizon_V2!$N:$N,A4,Clientes_Orizon_V2!$S:$S),0)</x:f>
        <x:v>0.4163157894736842</x:v>
      </x:c>
      <x:c r="H4" s="103" t="n">
        <x:f>B4/SUM($B$4:$B$8)</x:f>
        <x:v>0.4318181818181818</x:v>
      </x:c>
      <x:c r="I4" s="69"/>
      <x:c r="J4" s="69" t="str">
        <x:v>GRUPO RAÍZEN</x:v>
      </x:c>
      <x:c r="K4" s="82" t="n">
        <x:v>1000000</x:v>
      </x:c>
      <x:c r="L4" s="69" t="n">
        <x:v>77</x:v>
      </x:c>
      <x:c r="M4" s="83" t="str">
        <x:v>Legacy Anchor</x:v>
      </x:c>
      <x:c r="N4" s="103" t="n">
        <x:v>0.7</x:v>
      </x:c>
      <x:c r="O4" s="84" t="n">
        <x:v>149450000</x:v>
      </x:c>
      <x:c r="P4" s="69" t="str">
        <x:v>Auras, Auba, Fungos</x:v>
      </x:c>
      <x:c r="Q4" s="69"/>
      <x:c r="R4" s="69" t="str">
        <x:v>Auras</x:v>
      </x:c>
      <x:c r="S4" s="69" t="n">
        <x:v>32</x:v>
      </x:c>
      <x:c r="T4" s="69"/>
      <x:c r="U4" s="69"/>
      <x:c r="V4" s="69"/>
      <x:c r="W4" s="69"/>
      <x:c r="X4" s="69"/>
      <x:c r="Y4" s="69"/>
      <x:c r="Z4" s="69"/>
      <x:c r="AA4" s="69"/>
      <x:c r="AB4" s="69"/>
      <x:c r="AC4" s="69"/>
    </x:row>
    <x:row r="5">
      <x:c r="A5" s="69" t="str">
        <x:v>Flow</x:v>
      </x:c>
      <x:c r="B5" s="69" t="n">
        <x:f>COUNTIF(Clientes_Orizon_V2!$N:$N,A5)</x:f>
        <x:v>16</x:v>
      </x:c>
      <x:c r="C5" s="82" t="n">
        <x:f>SUMIF(Clientes_Orizon_V2!$N:$N,A5,Clientes_Orizon_V2!$B:$B)</x:f>
        <x:v>1107000</x:v>
      </x:c>
      <x:c r="D5" s="84" t="n">
        <x:f>SUMIF(Clientes_Orizon_V2!$N:$N,A5,Clientes_Orizon_V2!$Y:$Y)</x:f>
        <x:v>125817335</x:v>
      </x:c>
      <x:c r="E5" s="84" t="n">
        <x:f>SUMIF(Clientes_Orizon_V2!$N:$N,A5,Clientes_Orizon_V2!$V:$V)</x:f>
        <x:v>1401778</x:v>
      </x:c>
      <x:c r="F5" s="83" t="n">
        <x:f>IFERROR(AVERAGEIF(Clientes_Orizon_V2!$N:$N,A5,Clientes_Orizon_V2!$M:$M),0)</x:f>
        <x:v>57.02499999999999</x:v>
      </x:c>
      <x:c r="G5" s="103" t="n">
        <x:f>IFERROR(AVERAGEIF(Clientes_Orizon_V2!$N:$N,A5,Clientes_Orizon_V2!$S:$S),0)</x:f>
        <x:v>0.5662499999999999</x:v>
      </x:c>
      <x:c r="H5" s="103" t="n">
        <x:f>B5/SUM($B$4:$B$8)</x:f>
        <x:v>0.36363636363636365</x:v>
      </x:c>
      <x:c r="I5" s="69"/>
      <x:c r="J5" s="69" t="str">
        <x:v>BP BIOENERGY</x:v>
      </x:c>
      <x:c r="K5" s="82" t="n">
        <x:v>200000</x:v>
      </x:c>
      <x:c r="L5" s="69" t="n">
        <x:v>82.5</x:v>
      </x:c>
      <x:c r="M5" s="83" t="str">
        <x:v>Legacy</x:v>
      </x:c>
      <x:c r="N5" s="103" t="n">
        <x:v>0.78</x:v>
      </x:c>
      <x:c r="O5" s="84" t="n">
        <x:v>33306000</x:v>
      </x:c>
      <x:c r="P5" s="69" t="str">
        <x:v>Auras, Aufix, Bovettus, Mettus</x:v>
      </x:c>
      <x:c r="Q5" s="69"/>
      <x:c r="R5" s="69" t="str">
        <x:v>Auba</x:v>
      </x:c>
      <x:c r="S5" s="69" t="n">
        <x:v>19</x:v>
      </x:c>
      <x:c r="T5" s="69"/>
      <x:c r="U5" s="69"/>
      <x:c r="V5" s="69"/>
      <x:c r="W5" s="69"/>
      <x:c r="X5" s="69"/>
      <x:c r="Y5" s="69"/>
      <x:c r="Z5" s="69"/>
      <x:c r="AA5" s="69"/>
      <x:c r="AB5" s="69"/>
      <x:c r="AC5" s="69"/>
    </x:row>
    <x:row r="6">
      <x:c r="A6" s="69" t="str">
        <x:v>Prime</x:v>
      </x:c>
      <x:c r="B6" s="69" t="n">
        <x:f>COUNTIF(Clientes_Orizon_V2!$N:$N,A6)</x:f>
        <x:v>4</x:v>
      </x:c>
      <x:c r="C6" s="82" t="n">
        <x:f>SUMIF(Clientes_Orizon_V2!$N:$N,A6,Clientes_Orizon_V2!$B:$B)</x:f>
        <x:v>420000</x:v>
      </x:c>
      <x:c r="D6" s="84" t="n">
        <x:f>SUMIF(Clientes_Orizon_V2!$N:$N,A6,Clientes_Orizon_V2!$Y:$Y)</x:f>
        <x:v>66889550</x:v>
      </x:c>
      <x:c r="E6" s="84" t="n">
        <x:f>SUMIF(Clientes_Orizon_V2!$N:$N,A6,Clientes_Orizon_V2!$V:$V)</x:f>
        <x:v>930501</x:v>
      </x:c>
      <x:c r="F6" s="83" t="n">
        <x:f>IFERROR(AVERAGEIF(Clientes_Orizon_V2!$N:$N,A6,Clientes_Orizon_V2!$M:$M),0)</x:f>
        <x:v>73.89999999999999</x:v>
      </x:c>
      <x:c r="G6" s="103" t="n">
        <x:f>IFERROR(AVERAGEIF(Clientes_Orizon_V2!$N:$N,A6,Clientes_Orizon_V2!$S:$S),0)</x:f>
        <x:v>0.745</x:v>
      </x:c>
      <x:c r="H6" s="103" t="n">
        <x:f>B6/SUM($B$4:$B$8)</x:f>
        <x:v>0.09090909090909091</x:v>
      </x:c>
      <x:c r="I6" s="69"/>
      <x:c r="J6" s="69" t="str">
        <x:v>GRUPO TEREOS</x:v>
      </x:c>
      <x:c r="K6" s="82" t="n">
        <x:v>190000</x:v>
      </x:c>
      <x:c r="L6" s="69" t="n">
        <x:v>67.5</x:v>
      </x:c>
      <x:c r="M6" s="83" t="str">
        <x:v>Legacy</x:v>
      </x:c>
      <x:c r="N6" s="103" t="n">
        <x:v>0.63</x:v>
      </x:c>
      <x:c r="O6" s="84" t="n">
        <x:v>25555950</x:v>
      </x:c>
      <x:c r="P6" s="69" t="str">
        <x:v>Auras, Auba</x:v>
      </x:c>
      <x:c r="Q6" s="69"/>
      <x:c r="R6" s="69" t="str">
        <x:v>Artefato</x:v>
      </x:c>
      <x:c r="S6" s="69" t="n">
        <x:v>6</x:v>
      </x:c>
      <x:c r="T6" s="69"/>
      <x:c r="U6" s="69"/>
      <x:c r="V6" s="69"/>
      <x:c r="W6" s="69"/>
      <x:c r="X6" s="69"/>
      <x:c r="Y6" s="69"/>
      <x:c r="Z6" s="69"/>
      <x:c r="AA6" s="69"/>
      <x:c r="AB6" s="69"/>
      <x:c r="AC6" s="69"/>
    </x:row>
    <x:row r="7">
      <x:c r="A7" s="69" t="str">
        <x:v>Legacy</x:v>
      </x:c>
      <x:c r="B7" s="69" t="n">
        <x:f>COUNTIF(Clientes_Orizon_V2!$N:$N,A7)</x:f>
        <x:v>4</x:v>
      </x:c>
      <x:c r="C7" s="82" t="n">
        <x:f>SUMIF(Clientes_Orizon_V2!$N:$N,A7,Clientes_Orizon_V2!$B:$B)</x:f>
        <x:v>770000</x:v>
      </x:c>
      <x:c r="D7" s="84" t="n">
        <x:f>SUMIF(Clientes_Orizon_V2!$N:$N,A7,Clientes_Orizon_V2!$Y:$Y)</x:f>
        <x:v>103696950</x:v>
      </x:c>
      <x:c r="E7" s="84" t="n">
        <x:f>SUMIF(Clientes_Orizon_V2!$N:$N,A7,Clientes_Orizon_V2!$V:$V)</x:f>
        <x:v>1923372</x:v>
      </x:c>
      <x:c r="F7" s="83" t="n">
        <x:f>IFERROR(AVERAGEIF(Clientes_Orizon_V2!$N:$N,A7,Clientes_Orizon_V2!$M:$M),0)</x:f>
        <x:v>69.2</x:v>
      </x:c>
      <x:c r="G7" s="103" t="n">
        <x:f>IFERROR(AVERAGEIF(Clientes_Orizon_V2!$N:$N,A7,Clientes_Orizon_V2!$S:$S),0)</x:f>
        <x:v>0.6299999999999999</x:v>
      </x:c>
      <x:c r="H7" s="103" t="n">
        <x:f>B7/SUM($B$4:$B$8)</x:f>
        <x:v>0.09090909090909091</x:v>
      </x:c>
      <x:c r="I7" s="69"/>
      <x:c r="J7" s="69" t="str">
        <x:v>GRUPO COCAL</x:v>
      </x:c>
      <x:c r="K7" s="82" t="n">
        <x:v>140000</x:v>
      </x:c>
      <x:c r="L7" s="69" t="n">
        <x:v>78.2</x:v>
      </x:c>
      <x:c r="M7" s="83" t="str">
        <x:v>Prime</x:v>
      </x:c>
      <x:c r="N7" s="103" t="n">
        <x:v>0.78</x:v>
      </x:c>
      <x:c r="O7" s="84" t="n">
        <x:v>23314200</x:v>
      </x:c>
      <x:c r="P7" s="69" t="str">
        <x:v>Auras, Auba, Nerut, Mettus</x:v>
      </x:c>
      <x:c r="Q7" s="69"/>
      <x:c r="R7" s="69" t="str">
        <x:v>Nerut</x:v>
      </x:c>
      <x:c r="S7" s="69" t="n">
        <x:v>4</x:v>
      </x:c>
      <x:c r="T7" s="69"/>
      <x:c r="U7" s="69"/>
      <x:c r="V7" s="69"/>
      <x:c r="W7" s="69"/>
      <x:c r="X7" s="69"/>
      <x:c r="Y7" s="69"/>
      <x:c r="Z7" s="69"/>
      <x:c r="AA7" s="69"/>
      <x:c r="AB7" s="69"/>
      <x:c r="AC7" s="69"/>
    </x:row>
    <x:row r="8">
      <x:c r="A8" s="69" t="str">
        <x:v>Legacy Anchor</x:v>
      </x:c>
      <x:c r="B8" s="69" t="n">
        <x:f>COUNTIF(Clientes_Orizon_V2!$N:$N,A8)</x:f>
        <x:v>1</x:v>
      </x:c>
      <x:c r="C8" s="82" t="n">
        <x:f>SUMIF(Clientes_Orizon_V2!$N:$N,A8,Clientes_Orizon_V2!$B:$B)</x:f>
        <x:v>1000000</x:v>
      </x:c>
      <x:c r="D8" s="84" t="n">
        <x:f>SUMIF(Clientes_Orizon_V2!$N:$N,A8,Clientes_Orizon_V2!$Y:$Y)</x:f>
        <x:v>149450000</x:v>
      </x:c>
      <x:c r="E8" s="84" t="n">
        <x:f>SUMIF(Clientes_Orizon_V2!$N:$N,A8,Clientes_Orizon_V2!$V:$V)</x:f>
        <x:v>3465000</x:v>
      </x:c>
      <x:c r="F8" s="83" t="n">
        <x:f>IFERROR(AVERAGEIF(Clientes_Orizon_V2!$N:$N,A8,Clientes_Orizon_V2!$M:$M),0)</x:f>
        <x:v>77</x:v>
      </x:c>
      <x:c r="G8" s="103" t="n">
        <x:f>IFERROR(AVERAGEIF(Clientes_Orizon_V2!$N:$N,A8,Clientes_Orizon_V2!$S:$S),0)</x:f>
        <x:v>0.7</x:v>
      </x:c>
      <x:c r="H8" s="103" t="n">
        <x:f>B8/SUM($B$4:$B$8)</x:f>
        <x:v>0.022727272727272728</x:v>
      </x:c>
      <x:c r="I8" s="69"/>
      <x:c r="J8" s="69" t="str">
        <x:v>GRUPO CORURIPE</x:v>
      </x:c>
      <x:c r="K8" s="82" t="n">
        <x:v>180000</x:v>
      </x:c>
      <x:c r="L8" s="69" t="n">
        <x:v>65</x:v>
      </x:c>
      <x:c r="M8" s="83" t="str">
        <x:v>Legacy</x:v>
      </x:c>
      <x:c r="N8" s="103" t="n">
        <x:v>0.6</x:v>
      </x:c>
      <x:c r="O8" s="84" t="n">
        <x:v>23058000</x:v>
      </x:c>
      <x:c r="P8" s="69" t="str">
        <x:v>Auras, Auba</x:v>
      </x:c>
      <x:c r="Q8" s="69"/>
      <x:c r="R8" s="69" t="str">
        <x:v>Tritter</x:v>
      </x:c>
      <x:c r="S8" s="69" t="n">
        <x:v>3</x:v>
      </x:c>
      <x:c r="T8" s="69"/>
      <x:c r="U8" s="69"/>
      <x:c r="V8" s="69"/>
      <x:c r="W8" s="69"/>
      <x:c r="X8" s="69"/>
      <x:c r="Y8" s="69"/>
      <x:c r="Z8" s="69"/>
      <x:c r="AA8" s="69"/>
      <x:c r="AB8" s="69"/>
      <x:c r="AC8" s="69"/>
    </x:row>
    <x:row r="9">
      <x:c r="A9" s="106" t="str">
        <x:v>TOTAL</x:v>
      </x:c>
      <x:c r="B9" s="106" t="n">
        <x:f>SUM(B4:B8)</x:f>
        <x:v>44</x:v>
      </x:c>
      <x:c r="C9" s="107" t="n">
        <x:f>SUM(C4:C8)</x:f>
        <x:v>3956000</x:v>
      </x:c>
      <x:c r="D9" s="108" t="n">
        <x:f>SUM(D4:D8)</x:f>
        <x:v>504957040</x:v>
      </x:c>
      <x:c r="E9" s="108" t="n">
        <x:f>SUM(E4:E8)</x:f>
        <x:v>8268775</x:v>
      </x:c>
      <x:c r="F9" s="109" t="n">
        <x:f>AVERAGE(Clientes_Orizon_V2!$M$2:$M$45)</x:f>
        <x:v>53.79318181818181</x:v>
      </x:c>
      <x:c r="G9" s="110" t="n">
        <x:f>AVERAGE(Clientes_Orizon_V2!$S$2:$S$45)</x:f>
        <x:v>0.5265909090909092</x:v>
      </x:c>
      <x:c r="H9" s="110" t="n">
        <x:f>SUM(H4:H8)</x:f>
        <x:v>1</x:v>
      </x:c>
      <x:c r="I9" s="69"/>
      <x:c r="J9" s="69" t="str">
        <x:v>USINA IPIRANGA</x:v>
      </x:c>
      <x:c r="K9" s="82" t="n">
        <x:v>200000</x:v>
      </x:c>
      <x:c r="L9" s="69" t="n">
        <x:v>61.8</x:v>
      </x:c>
      <x:c r="M9" s="83" t="str">
        <x:v>Legacy</x:v>
      </x:c>
      <x:c r="N9" s="103" t="n">
        <x:v>0.51</x:v>
      </x:c>
      <x:c r="O9" s="84" t="n">
        <x:v>21777000</x:v>
      </x:c>
      <x:c r="P9" s="69" t="str"/>
      <x:c r="Q9" s="69"/>
      <x:c r="R9" s="69" t="str">
        <x:v>Aufix</x:v>
      </x:c>
      <x:c r="S9" s="69" t="n">
        <x:v>1</x:v>
      </x:c>
      <x:c r="T9" s="69"/>
      <x:c r="U9" s="69"/>
      <x:c r="V9" s="69"/>
      <x:c r="W9" s="69"/>
      <x:c r="X9" s="69"/>
      <x:c r="Y9" s="69"/>
      <x:c r="Z9" s="69"/>
      <x:c r="AA9" s="69"/>
      <x:c r="AB9" s="69"/>
      <x:c r="AC9" s="69"/>
    </x:row>
    <x:row r="10">
      <x:c r="A10" s="106"/>
      <x:c r="B10" s="106"/>
      <x:c r="C10" s="107"/>
      <x:c r="D10" s="108"/>
      <x:c r="E10" s="108"/>
      <x:c r="F10" s="109"/>
      <x:c r="G10" s="110"/>
      <x:c r="H10" s="110"/>
      <x:c r="I10" s="69"/>
      <x:c r="J10" s="69" t="str">
        <x:v>Grupo CMAA</x:v>
      </x:c>
      <x:c r="K10" s="82" t="n">
        <x:v>120000</x:v>
      </x:c>
      <x:c r="L10" s="69" t="n">
        <x:v>71.8</x:v>
      </x:c>
      <x:c r="M10" s="83" t="str">
        <x:v>Prime</x:v>
      </x:c>
      <x:c r="N10" s="103" t="n">
        <x:v>0.69</x:v>
      </x:c>
      <x:c r="O10" s="84" t="n">
        <x:v>17677800</x:v>
      </x:c>
      <x:c r="P10" s="69" t="str">
        <x:v>Auras, Auba, Nematicidas</x:v>
      </x:c>
      <x:c r="Q10" s="69"/>
      <x:c r="R10" s="69" t="str">
        <x:v>Bovettus</x:v>
      </x:c>
      <x:c r="S10" s="69" t="n">
        <x:v>6</x:v>
      </x:c>
      <x:c r="T10" s="69"/>
      <x:c r="U10" s="69"/>
      <x:c r="V10" s="69"/>
      <x:c r="W10" s="69"/>
      <x:c r="X10" s="69"/>
      <x:c r="Y10" s="69"/>
      <x:c r="Z10" s="69"/>
      <x:c r="AA10" s="69"/>
      <x:c r="AB10" s="69"/>
      <x:c r="AC10" s="69"/>
    </x:row>
    <x:row r="11">
      <x:c r="A11" s="69"/>
      <x:c r="B11" s="69"/>
      <x:c r="C11" s="69"/>
      <x:c r="D11" s="69"/>
      <x:c r="E11" s="69"/>
      <x:c r="F11" s="69"/>
      <x:c r="G11" s="69"/>
      <x:c r="H11" s="69"/>
      <x:c r="I11" s="69"/>
      <x:c r="J11" s="69" t="str">
        <x:v>GRUPO COFCO</x:v>
      </x:c>
      <x:c r="K11" s="82" t="n">
        <x:v>90000</x:v>
      </x:c>
      <x:c r="L11" s="69" t="n">
        <x:v>75.3</x:v>
      </x:c>
      <x:c r="M11" s="83" t="str">
        <x:v>Prime</x:v>
      </x:c>
      <x:c r="N11" s="103" t="n">
        <x:v>0.78</x:v>
      </x:c>
      <x:c r="O11" s="84" t="n">
        <x:v>14987700</x:v>
      </x:c>
      <x:c r="P11" s="69" t="str">
        <x:v>Auras, Auba, Tritter, Bovettus, Mettus</x:v>
      </x:c>
      <x:c r="Q11" s="69"/>
      <x:c r="R11" s="69" t="str">
        <x:v>Mettus</x:v>
      </x:c>
      <x:c r="S11" s="69" t="n">
        <x:v>5</x:v>
      </x:c>
      <x:c r="T11" s="69"/>
      <x:c r="U11" s="69"/>
      <x:c r="V11" s="69"/>
      <x:c r="W11" s="69"/>
      <x:c r="X11" s="69"/>
      <x:c r="Y11" s="69"/>
      <x:c r="Z11" s="69"/>
      <x:c r="AA11" s="69"/>
      <x:c r="AB11" s="69"/>
      <x:c r="AC11" s="69"/>
    </x:row>
    <x:row r="12">
      <x:c r="A12" s="69"/>
      <x:c r="B12" s="69"/>
      <x:c r="C12" s="69"/>
      <x:c r="D12" s="69"/>
      <x:c r="E12" s="69"/>
      <x:c r="F12" s="69"/>
      <x:c r="G12" s="69"/>
      <x:c r="H12" s="69"/>
      <x:c r="I12" s="69"/>
      <x:c r="J12" s="69" t="str">
        <x:v>USINA DELTA</x:v>
      </x:c>
      <x:c r="K12" s="82" t="n">
        <x:v>120000</x:v>
      </x:c>
      <x:c r="L12" s="69" t="n">
        <x:v>62</x:v>
      </x:c>
      <x:c r="M12" s="83" t="str">
        <x:v>Flow</x:v>
      </x:c>
      <x:c r="N12" s="103" t="n">
        <x:v>0.56</x:v>
      </x:c>
      <x:c r="O12" s="84" t="n">
        <x:v>14347200</x:v>
      </x:c>
      <x:c r="P12" s="69" t="str">
        <x:v>Auras, Bovettus, Mettus</x:v>
      </x:c>
      <x:c r="Q12" s="69"/>
      <x:c r="R12" s="69" t="str">
        <x:v>Nematicidas</x:v>
      </x:c>
      <x:c r="S12" s="69" t="n">
        <x:v>3</x:v>
      </x:c>
      <x:c r="T12" s="69"/>
      <x:c r="U12" s="69"/>
      <x:c r="V12" s="69"/>
      <x:c r="W12" s="69"/>
      <x:c r="X12" s="69"/>
      <x:c r="Y12" s="69"/>
      <x:c r="Z12" s="69"/>
      <x:c r="AA12" s="69"/>
      <x:c r="AB12" s="69"/>
      <x:c r="AC12" s="69"/>
    </x:row>
    <x:row r="13">
      <x:c r="A13" s="69"/>
      <x:c r="B13" s="69"/>
      <x:c r="C13" s="69"/>
      <x:c r="D13" s="69"/>
      <x:c r="E13" s="69"/>
      <x:c r="F13" s="69"/>
      <x:c r="G13" s="69"/>
      <x:c r="H13" s="69"/>
      <x:c r="I13" s="69"/>
      <x:c r="J13" s="69" t="str">
        <x:v>GRUPO VALE DO VERDÃO</x:v>
      </x:c>
      <x:c r="K13" s="82" t="n">
        <x:v>155000</x:v>
      </x:c>
      <x:c r="L13" s="69" t="n">
        <x:v>51.8</x:v>
      </x:c>
      <x:c r="M13" s="83" t="str">
        <x:v>Flow</x:v>
      </x:c>
      <x:c r="N13" s="103" t="n">
        <x:v>0.43</x:v>
      </x:c>
      <x:c r="O13" s="84" t="n">
        <x:v>14229775</x:v>
      </x:c>
      <x:c r="P13" s="69" t="str"/>
      <x:c r="Q13" s="69"/>
      <x:c r="R13" s="69" t="str">
        <x:v>Fungos</x:v>
      </x:c>
      <x:c r="S13" s="69" t="n">
        <x:v>4</x:v>
      </x:c>
      <x:c r="T13" s="69"/>
      <x:c r="U13" s="69"/>
      <x:c r="V13" s="69"/>
      <x:c r="W13" s="69"/>
      <x:c r="X13" s="69"/>
      <x:c r="Y13" s="69"/>
      <x:c r="Z13" s="69"/>
      <x:c r="AA13" s="69"/>
      <x:c r="AB13" s="69"/>
      <x:c r="AC13" s="69"/>
    </x:row>
    <x:row r="14">
      <x:c r="A14" s="69"/>
      <x:c r="B14" s="69"/>
      <x:c r="C14" s="69"/>
      <x:c r="D14" s="69"/>
      <x:c r="E14" s="69"/>
      <x:c r="F14" s="69"/>
      <x:c r="G14" s="69"/>
      <x:c r="H14" s="69"/>
      <x:c r="I14" s="69"/>
      <x:c r="J14" s="69" t="str">
        <x:v>GRUPO SANTA TEREZINHA</x:v>
      </x:c>
      <x:c r="K14" s="82" t="n">
        <x:v>130000</x:v>
      </x:c>
      <x:c r="L14" s="69" t="n">
        <x:v>52.2</x:v>
      </x:c>
      <x:c r="M14" s="83" t="str">
        <x:v>Flow</x:v>
      </x:c>
      <x:c r="N14" s="103" t="n">
        <x:v>0.44</x:v>
      </x:c>
      <x:c r="O14" s="84" t="n">
        <x:v>12212200</x:v>
      </x:c>
      <x:c r="P14" s="69" t="str">
        <x:v>Auras, Auba</x:v>
      </x:c>
      <x:c r="Q14" s="69"/>
      <x:c r="R14" s="69"/>
      <x:c r="S14" s="69"/>
      <x:c r="T14" s="69"/>
      <x:c r="U14" s="69"/>
      <x:c r="V14" s="69"/>
      <x:c r="W14" s="69"/>
      <x:c r="X14" s="69"/>
      <x:c r="Y14" s="69"/>
      <x:c r="Z14" s="69"/>
      <x:c r="AA14" s="69"/>
      <x:c r="AB14" s="69"/>
      <x:c r="AC14" s="69"/>
    </x:row>
    <x:row r="15">
      <x:c r="A15" s="69"/>
      <x:c r="B15" s="69"/>
      <x:c r="C15" s="69"/>
      <x:c r="D15" s="69"/>
      <x:c r="E15" s="69"/>
      <x:c r="F15" s="69"/>
      <x:c r="G15" s="69"/>
      <x:c r="H15" s="69"/>
      <x:c r="I15" s="69"/>
      <x:c r="J15" s="69" t="str">
        <x:v>GRUPO PEDRA</x:v>
      </x:c>
      <x:c r="K15" s="82" t="n">
        <x:v>95000</x:v>
      </x:c>
      <x:c r="L15" s="69" t="n">
        <x:v>60.2</x:v>
      </x:c>
      <x:c r="M15" s="83" t="str">
        <x:v>Flow</x:v>
      </x:c>
      <x:c r="N15" s="103" t="n">
        <x:v>0.58</x:v>
      </x:c>
      <x:c r="O15" s="84" t="n">
        <x:v>11763850</x:v>
      </x:c>
      <x:c r="P15" s="69" t="str">
        <x:v>Auras, Artefato, Bovettus</x:v>
      </x:c>
      <x:c r="Q15" s="69"/>
      <x:c r="R15" s="69"/>
      <x:c r="S15" s="69"/>
      <x:c r="T15" s="69"/>
      <x:c r="U15" s="69"/>
      <x:c r="V15" s="69"/>
      <x:c r="W15" s="69"/>
      <x:c r="X15" s="69"/>
      <x:c r="Y15" s="69"/>
      <x:c r="Z15" s="69"/>
      <x:c r="AA15" s="69"/>
      <x:c r="AB15" s="69"/>
      <x:c r="AC15" s="69"/>
    </x:row>
    <x:row r="16">
      <x:c r="A16" s="69"/>
      <x:c r="B16" s="69"/>
      <x:c r="C16" s="69"/>
      <x:c r="D16" s="69"/>
      <x:c r="E16" s="69"/>
      <x:c r="F16" s="69"/>
      <x:c r="G16" s="69"/>
      <x:c r="H16" s="69"/>
      <x:c r="I16" s="69"/>
      <x:c r="J16" s="69" t="str">
        <x:v>USINA CERRADINHO BIO</x:v>
      </x:c>
      <x:c r="K16" s="82" t="n">
        <x:v>115000</x:v>
      </x:c>
      <x:c r="L16" s="69" t="n">
        <x:v>54.5</x:v>
      </x:c>
      <x:c r="M16" s="83" t="str">
        <x:v>Flow</x:v>
      </x:c>
      <x:c r="N16" s="103" t="n">
        <x:v>0.47</x:v>
      </x:c>
      <x:c r="O16" s="84" t="n">
        <x:v>11539675</x:v>
      </x:c>
      <x:c r="P16" s="69" t="str"/>
      <x:c r="Q16" s="69"/>
      <x:c r="R16" s="69"/>
      <x:c r="S16" s="69"/>
      <x:c r="T16" s="69"/>
      <x:c r="U16" s="69"/>
      <x:c r="V16" s="69"/>
      <x:c r="W16" s="69"/>
      <x:c r="X16" s="69"/>
      <x:c r="Y16" s="69"/>
      <x:c r="Z16" s="69"/>
      <x:c r="AA16" s="69"/>
      <x:c r="AB16" s="69"/>
      <x:c r="AC16" s="69"/>
    </x:row>
    <x:row r="17">
      <x:c r="A17" s="69"/>
      <x:c r="B17" s="69"/>
      <x:c r="C17" s="69"/>
      <x:c r="D17" s="69"/>
      <x:c r="E17" s="69"/>
      <x:c r="F17" s="69"/>
      <x:c r="G17" s="69"/>
      <x:c r="H17" s="69"/>
      <x:c r="I17" s="69"/>
      <x:c r="J17" s="69" t="str">
        <x:v>USINA ALTA MOGIANA</x:v>
      </x:c>
      <x:c r="K17" s="82" t="n">
        <x:v>70000</x:v>
      </x:c>
      <x:c r="L17" s="69" t="n">
        <x:v>70.2</x:v>
      </x:c>
      <x:c r="M17" s="83" t="str">
        <x:v>Prime</x:v>
      </x:c>
      <x:c r="N17" s="103" t="n">
        <x:v>0.73</x:v>
      </x:c>
      <x:c r="O17" s="84" t="n">
        <x:v>10909850</x:v>
      </x:c>
      <x:c r="P17" s="69" t="str">
        <x:v>Auras, Artefato, Nerut</x:v>
      </x:c>
      <x:c r="Q17" s="69"/>
      <x:c r="R17" s="69"/>
      <x:c r="S17" s="69"/>
      <x:c r="T17" s="69"/>
      <x:c r="U17" s="69"/>
      <x:c r="V17" s="69"/>
      <x:c r="W17" s="69"/>
      <x:c r="X17" s="69"/>
      <x:c r="Y17" s="69"/>
      <x:c r="Z17" s="69"/>
      <x:c r="AA17" s="69"/>
      <x:c r="AB17" s="69"/>
      <x:c r="AC17" s="69"/>
    </x:row>
    <x:row r="18">
      <x:c r="A18" s="69"/>
      <x:c r="B18" s="69"/>
      <x:c r="C18" s="69"/>
      <x:c r="D18" s="69"/>
      <x:c r="E18" s="69"/>
      <x:c r="F18" s="69"/>
      <x:c r="G18" s="69"/>
      <x:c r="H18" s="69"/>
      <x:c r="I18" s="69"/>
      <x:c r="J18" s="69" t="str">
        <x:v>USINA SANTA ISABEL</x:v>
      </x:c>
      <x:c r="K18" s="82" t="n">
        <x:v>90000</x:v>
      </x:c>
      <x:c r="L18" s="69" t="n">
        <x:v>48</x:v>
      </x:c>
      <x:c r="M18" s="83" t="str">
        <x:v>Foundation</x:v>
      </x:c>
      <x:c r="N18" s="103" t="n">
        <x:v>0.44</x:v>
      </x:c>
      <x:c r="O18" s="84" t="n">
        <x:v>8454600</x:v>
      </x:c>
      <x:c r="P18" s="69" t="str">
        <x:v>Auras</x:v>
      </x:c>
      <x:c r="Q18" s="69"/>
      <x:c r="R18" s="69"/>
      <x:c r="S18" s="69"/>
      <x:c r="T18" s="69"/>
      <x:c r="U18" s="69"/>
      <x:c r="V18" s="69"/>
      <x:c r="W18" s="69"/>
      <x:c r="X18" s="69"/>
      <x:c r="Y18" s="69"/>
      <x:c r="Z18" s="69"/>
      <x:c r="AA18" s="69"/>
      <x:c r="AB18" s="69"/>
      <x:c r="AC18" s="69"/>
    </x:row>
    <x:row r="19">
      <x:c r="A19" s="69"/>
      <x:c r="B19" s="69"/>
      <x:c r="C19" s="69"/>
      <x:c r="D19" s="69"/>
      <x:c r="E19" s="69"/>
      <x:c r="F19" s="69"/>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x:c r="B22" s="69"/>
      <x:c r="C22" s="69"/>
      <x:c r="D22" s="69"/>
      <x:c r="E22" s="69"/>
      <x:c r="F22" s="69"/>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H1"/>
  </x:mergeCells>
  <x:pageMargins left="0.7" right="0.7" top="0.75" bottom="0.75" header="0.3" footer="0.3"/>
  <x:tableParts count="3">
    <x:tablePart xmlns:r="http://schemas.openxmlformats.org/officeDocument/2006/relationships" r:id="Rea48e01610874107"/>
    <x:tablePart xmlns:r="http://schemas.openxmlformats.org/officeDocument/2006/relationships" r:id="Rcb9be4648bc94d53"/>
    <x:tablePart xmlns:r="http://schemas.openxmlformats.org/officeDocument/2006/relationships" r:id="Rbd95742ea44c456b"/>
  </x:tableParts>
</x:worksheet>
</file>

<file path=xl/worksheets/sheet5.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x:c r="A1" s="68" t="str">
        <x:v>ORIZON 2.0 — Painel Executivo de Carteira, Potencial e Kaizen</x:v>
      </x:c>
      <x:c r="B1" s="69"/>
      <x:c r="C1" s="69"/>
      <x:c r="D1" s="69"/>
      <x:c r="E1" s="69"/>
      <x:c r="F1" s="69"/>
      <x:c r="G1" s="69"/>
      <x:c r="H1" s="69"/>
      <x:c r="I1" s="69"/>
      <x:c r="J1" s="70"/>
      <x:c r="K1" s="70"/>
      <x:c r="L1" s="70"/>
      <x:c r="M1" s="70"/>
      <x:c r="N1" s="70"/>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1" t="str">
        <x:v>Clientes</x:v>
      </x:c>
      <x:c r="B3" s="71"/>
      <x:c r="C3" s="71" t="str">
        <x:v>Área total ha</x:v>
      </x:c>
      <x:c r="D3" s="71"/>
      <x:c r="E3" s="71" t="str">
        <x:v>Potencial ecossistema</x:v>
      </x:c>
      <x:c r="F3" s="71"/>
      <x:c r="G3" s="71" t="str">
        <x:v>Créditos potenciais</x:v>
      </x:c>
      <x:c r="H3" s="71"/>
      <x:c r="I3" s="71" t="str">
        <x:v>OPI médio</x:v>
      </x:c>
      <x:c r="J3" s="71"/>
      <x:c r="K3" s="71" t="str">
        <x:v>Prob. média</x:v>
      </x:c>
      <x:c r="L3" s="71"/>
      <x:c r="M3" s="69"/>
      <x:c r="N3" s="69"/>
      <x:c r="O3" s="69"/>
      <x:c r="P3" s="69"/>
      <x:c r="Q3" s="69"/>
      <x:c r="R3" s="69"/>
      <x:c r="S3" s="69"/>
      <x:c r="T3" s="69"/>
      <x:c r="U3" s="69"/>
      <x:c r="V3" s="69"/>
      <x:c r="W3" s="69"/>
      <x:c r="X3" s="69"/>
      <x:c r="Y3" s="69"/>
      <x:c r="Z3" s="69"/>
      <x:c r="AA3" s="69"/>
      <x:c r="AB3" s="69"/>
      <x:c r="AC3" s="69"/>
    </x:row>
    <x:row r="4">
      <x:c r="A4" s="72" t="n">
        <x:f>Resumo_Dados!B9</x:f>
        <x:v>44</x:v>
      </x:c>
      <x:c r="B4" s="71"/>
      <x:c r="C4" s="72" t="n">
        <x:f>Resumo_Dados!C9</x:f>
        <x:v>3956000</x:v>
      </x:c>
      <x:c r="D4" s="73"/>
      <x:c r="E4" s="72" t="n">
        <x:f>Resumo_Dados!D9</x:f>
        <x:v>504957040</x:v>
      </x:c>
      <x:c r="F4" s="74"/>
      <x:c r="G4" s="72" t="n">
        <x:f>Resumo_Dados!E9</x:f>
        <x:v>8268775</x:v>
      </x:c>
      <x:c r="H4" s="73"/>
      <x:c r="I4" s="72" t="n">
        <x:f>Resumo_Dados!F9</x:f>
        <x:v>53.79318181818181</x:v>
      </x:c>
      <x:c r="J4" s="75"/>
      <x:c r="K4" s="72" t="n">
        <x:f>Resumo_Dados!G9</x:f>
        <x:v>0.5265909090909092</x:v>
      </x:c>
      <x:c r="L4" s="76"/>
      <x:c r="M4" s="69"/>
      <x:c r="N4" s="69"/>
      <x:c r="O4" s="69"/>
      <x:c r="P4" s="69"/>
      <x:c r="Q4" s="69"/>
      <x:c r="R4" s="69"/>
      <x:c r="S4" s="69"/>
      <x:c r="T4" s="69"/>
      <x:c r="U4" s="69"/>
      <x:c r="V4" s="69"/>
      <x:c r="W4" s="69"/>
      <x:c r="X4" s="69"/>
      <x:c r="Y4" s="69"/>
      <x:c r="Z4" s="69"/>
      <x:c r="AA4" s="69"/>
      <x:c r="AB4" s="69"/>
      <x:c r="AC4" s="69"/>
    </x:row>
    <x:row r="5">
      <x:c r="A5" s="71" t="str">
        <x:v>Carteira cadastrada</x:v>
      </x:c>
      <x:c r="B5" s="71"/>
      <x:c r="C5" s="71" t="str">
        <x:v>Base agrícola mapeada</x:v>
      </x:c>
      <x:c r="D5" s="71"/>
      <x:c r="E5" s="71" t="str">
        <x:v>Biológicos + TCH + consultoria</x:v>
      </x:c>
      <x:c r="F5" s="71"/>
      <x:c r="G5" s="71" t="str">
        <x:v>Moeda de evolução operacional</x:v>
      </x:c>
      <x:c r="H5" s="71"/>
      <x:c r="I5" s="71" t="str">
        <x:v>Índice de potencial da carteira</x:v>
      </x:c>
      <x:c r="J5" s="71"/>
      <x:c r="K5" s="71" t="str">
        <x:v>Conversão ponderada por OPI</x:v>
      </x:c>
      <x:c r="L5" s="71"/>
      <x:c r="M5" s="69"/>
      <x:c r="N5" s="69"/>
      <x:c r="O5" s="69"/>
      <x:c r="P5" s="69"/>
      <x:c r="Q5" s="69"/>
      <x:c r="R5" s="69"/>
      <x:c r="S5" s="69"/>
      <x:c r="T5" s="69"/>
      <x:c r="U5" s="69"/>
      <x:c r="V5" s="69"/>
      <x:c r="W5" s="69"/>
      <x:c r="X5" s="69"/>
      <x:c r="Y5" s="69"/>
      <x:c r="Z5" s="69"/>
      <x:c r="AA5" s="69"/>
      <x:c r="AB5" s="69"/>
      <x:c r="AC5" s="69"/>
    </x:row>
    <x:row r="6">
      <x:c r="A6" s="69"/>
      <x:c r="B6" s="69"/>
      <x:c r="C6" s="69"/>
      <x:c r="D6" s="69"/>
      <x:c r="E6" s="69"/>
      <x:c r="F6" s="69"/>
      <x:c r="G6" s="69"/>
      <x:c r="H6" s="69"/>
      <x:c r="I6" s="69"/>
      <x:c r="J6" s="69"/>
      <x:c r="K6" s="69"/>
      <x:c r="L6" s="69"/>
      <x:c r="M6" s="69"/>
      <x:c r="N6" s="69"/>
      <x:c r="O6" s="69"/>
      <x:c r="P6" s="69"/>
      <x:c r="Q6" s="69"/>
      <x:c r="R6" s="69"/>
      <x:c r="S6" s="69"/>
      <x:c r="T6" s="69"/>
      <x:c r="U6" s="69"/>
      <x:c r="V6" s="69"/>
      <x:c r="W6" s="69"/>
      <x:c r="X6" s="69"/>
      <x:c r="Y6" s="69"/>
      <x:c r="Z6" s="69"/>
      <x:c r="AA6" s="69"/>
      <x:c r="AB6" s="69"/>
      <x:c r="AC6" s="69"/>
    </x:row>
    <x:row r="7">
      <x:c r="A7" s="69"/>
      <x:c r="B7" s="69"/>
      <x:c r="C7" s="69"/>
      <x:c r="D7" s="69"/>
      <x:c r="E7" s="69"/>
      <x:c r="F7" s="69"/>
      <x:c r="G7" s="69"/>
      <x:c r="H7" s="69"/>
      <x:c r="I7" s="69"/>
      <x:c r="J7" s="69"/>
      <x:c r="K7" s="69"/>
      <x:c r="L7" s="69"/>
      <x:c r="M7" s="69"/>
      <x:c r="N7" s="69"/>
      <x:c r="O7" s="69"/>
      <x:c r="P7" s="69"/>
      <x:c r="Q7" s="69"/>
      <x:c r="R7" s="69"/>
      <x:c r="S7" s="69"/>
      <x:c r="T7" s="69"/>
      <x:c r="U7" s="69"/>
      <x:c r="V7" s="69"/>
      <x:c r="W7" s="69"/>
      <x:c r="X7" s="69"/>
      <x:c r="Y7" s="69"/>
      <x:c r="Z7" s="69"/>
      <x:c r="AA7" s="69"/>
      <x:c r="AB7" s="69"/>
      <x:c r="AC7" s="69"/>
    </x:row>
    <x:row r="8">
      <x:c r="A8" s="77" t="str">
        <x:v>Categoria</x:v>
      </x:c>
      <x:c r="B8" s="77" t="str">
        <x:v>Clientes</x:v>
      </x:c>
      <x:c r="C8" s="77" t="str">
        <x:v>Área ha</x:v>
      </x:c>
      <x:c r="D8" s="77" t="str">
        <x:v>Potencial R$</x:v>
      </x:c>
      <x:c r="E8" s="77" t="str">
        <x:v>Créditos</x:v>
      </x:c>
      <x:c r="F8" s="77" t="str">
        <x:v>OPI médio</x:v>
      </x:c>
      <x:c r="G8" s="77" t="str">
        <x:v>Prob. média</x:v>
      </x:c>
      <x:c r="H8" s="77" t="str">
        <x:v>% Carteira</x:v>
      </x:c>
      <x:c r="I8" s="69"/>
      <x:c r="J8" s="77" t="str">
        <x:v>Top Cliente</x:v>
      </x:c>
      <x:c r="K8" s="77" t="str">
        <x:v>Área ha</x:v>
      </x:c>
      <x:c r="L8" s="77" t="str">
        <x:v>OPI</x:v>
      </x:c>
      <x:c r="M8" s="77" t="str">
        <x:v>Categoria</x:v>
      </x:c>
      <x:c r="N8" s="77" t="str">
        <x:v>Potencial R$</x:v>
      </x:c>
      <x:c r="O8" s="69"/>
      <x:c r="P8" s="69"/>
      <x:c r="Q8" s="69"/>
      <x:c r="R8" s="69"/>
      <x:c r="S8" s="69"/>
      <x:c r="T8" s="69"/>
      <x:c r="U8" s="69"/>
      <x:c r="V8" s="69"/>
      <x:c r="W8" s="69"/>
      <x:c r="X8" s="69"/>
      <x:c r="Y8" s="69"/>
      <x:c r="Z8" s="69"/>
      <x:c r="AA8" s="69"/>
      <x:c r="AB8" s="69"/>
      <x:c r="AC8" s="69"/>
    </x:row>
    <x:row r="9">
      <x:c r="A9" s="70" t="str">
        <x:f>Resumo_Dados!A4</x:f>
        <x:v>Foundation</x:v>
      </x:c>
      <x:c r="B9" s="78" t="n">
        <x:f>Resumo_Dados!B4</x:f>
        <x:v>19</x:v>
      </x:c>
      <x:c r="C9" s="78" t="n">
        <x:f>Resumo_Dados!C4</x:f>
        <x:v>659000</x:v>
      </x:c>
      <x:c r="D9" s="79" t="n">
        <x:f>Resumo_Dados!D4</x:f>
        <x:v>59103205</x:v>
      </x:c>
      <x:c r="E9" s="79" t="n">
        <x:f>Resumo_Dados!E4</x:f>
        <x:v>548124</x:v>
      </x:c>
      <x:c r="F9" s="80" t="n">
        <x:f>Resumo_Dados!F4</x:f>
        <x:v>42.373684210526314</x:v>
      </x:c>
      <x:c r="G9" s="81" t="n">
        <x:f>Resumo_Dados!G4</x:f>
        <x:v>0.4163157894736842</x:v>
      </x:c>
      <x:c r="H9" s="81" t="n">
        <x:f>Resumo_Dados!H4</x:f>
        <x:v>0.4318181818181818</x:v>
      </x:c>
      <x:c r="I9" s="69"/>
      <x:c r="J9" s="69" t="str">
        <x:f>Resumo_Dados!J4</x:f>
        <x:v>GRUPO RAÍZEN</x:v>
      </x:c>
      <x:c r="K9" s="82" t="n">
        <x:f>Resumo_Dados!K4</x:f>
        <x:v>1000000</x:v>
      </x:c>
      <x:c r="L9" s="83" t="n">
        <x:f>Resumo_Dados!L4</x:f>
        <x:v>77</x:v>
      </x:c>
      <x:c r="M9" s="69" t="str">
        <x:f>Resumo_Dados!M4</x:f>
        <x:v>Legacy Anchor</x:v>
      </x:c>
      <x:c r="N9" s="84" t="n">
        <x:f>Resumo_Dados!O4</x:f>
        <x:v>149450000</x:v>
      </x:c>
      <x:c r="O9" s="69"/>
      <x:c r="P9" s="69"/>
      <x:c r="Q9" s="69"/>
      <x:c r="R9" s="69"/>
      <x:c r="S9" s="69"/>
      <x:c r="T9" s="69"/>
      <x:c r="U9" s="69"/>
      <x:c r="V9" s="69"/>
      <x:c r="W9" s="69"/>
      <x:c r="X9" s="69"/>
      <x:c r="Y9" s="69"/>
      <x:c r="Z9" s="69"/>
      <x:c r="AA9" s="69"/>
      <x:c r="AB9" s="69"/>
      <x:c r="AC9" s="69"/>
    </x:row>
    <x:row r="10">
      <x:c r="A10" s="70" t="str">
        <x:f>Resumo_Dados!A5</x:f>
        <x:v>Flow</x:v>
      </x:c>
      <x:c r="B10" s="78" t="n">
        <x:f>Resumo_Dados!B5</x:f>
        <x:v>16</x:v>
      </x:c>
      <x:c r="C10" s="78" t="n">
        <x:f>Resumo_Dados!C5</x:f>
        <x:v>1107000</x:v>
      </x:c>
      <x:c r="D10" s="79" t="n">
        <x:f>Resumo_Dados!D5</x:f>
        <x:v>125817335</x:v>
      </x:c>
      <x:c r="E10" s="79" t="n">
        <x:f>Resumo_Dados!E5</x:f>
        <x:v>1401778</x:v>
      </x:c>
      <x:c r="F10" s="80" t="n">
        <x:f>Resumo_Dados!F5</x:f>
        <x:v>57.02499999999999</x:v>
      </x:c>
      <x:c r="G10" s="81" t="n">
        <x:f>Resumo_Dados!G5</x:f>
        <x:v>0.5662499999999999</x:v>
      </x:c>
      <x:c r="H10" s="81" t="n">
        <x:f>Resumo_Dados!H5</x:f>
        <x:v>0.36363636363636365</x:v>
      </x:c>
      <x:c r="I10" s="69"/>
      <x:c r="J10" s="69" t="str">
        <x:f>Resumo_Dados!J5</x:f>
        <x:v>BP BIOENERGY</x:v>
      </x:c>
      <x:c r="K10" s="82" t="n">
        <x:f>Resumo_Dados!K5</x:f>
        <x:v>200000</x:v>
      </x:c>
      <x:c r="L10" s="83" t="n">
        <x:f>Resumo_Dados!L5</x:f>
        <x:v>82.5</x:v>
      </x:c>
      <x:c r="M10" s="69" t="str">
        <x:f>Resumo_Dados!M5</x:f>
        <x:v>Legacy</x:v>
      </x:c>
      <x:c r="N10" s="84" t="n">
        <x:f>Resumo_Dados!O5</x:f>
        <x:v>33306000</x:v>
      </x:c>
      <x:c r="O10" s="69"/>
      <x:c r="P10" s="69"/>
      <x:c r="Q10" s="69"/>
      <x:c r="R10" s="69"/>
      <x:c r="S10" s="69"/>
      <x:c r="T10" s="69"/>
      <x:c r="U10" s="69"/>
      <x:c r="V10" s="69"/>
      <x:c r="W10" s="69"/>
      <x:c r="X10" s="69"/>
      <x:c r="Y10" s="69"/>
      <x:c r="Z10" s="69"/>
      <x:c r="AA10" s="69"/>
      <x:c r="AB10" s="69"/>
      <x:c r="AC10" s="69"/>
    </x:row>
    <x:row r="11">
      <x:c r="A11" s="70" t="str">
        <x:f>Resumo_Dados!A6</x:f>
        <x:v>Prime</x:v>
      </x:c>
      <x:c r="B11" s="78" t="n">
        <x:f>Resumo_Dados!B6</x:f>
        <x:v>4</x:v>
      </x:c>
      <x:c r="C11" s="78" t="n">
        <x:f>Resumo_Dados!C6</x:f>
        <x:v>420000</x:v>
      </x:c>
      <x:c r="D11" s="79" t="n">
        <x:f>Resumo_Dados!D6</x:f>
        <x:v>66889550</x:v>
      </x:c>
      <x:c r="E11" s="79" t="n">
        <x:f>Resumo_Dados!E6</x:f>
        <x:v>930501</x:v>
      </x:c>
      <x:c r="F11" s="80" t="n">
        <x:f>Resumo_Dados!F6</x:f>
        <x:v>73.89999999999999</x:v>
      </x:c>
      <x:c r="G11" s="81" t="n">
        <x:f>Resumo_Dados!G6</x:f>
        <x:v>0.745</x:v>
      </x:c>
      <x:c r="H11" s="81" t="n">
        <x:f>Resumo_Dados!H6</x:f>
        <x:v>0.09090909090909091</x:v>
      </x:c>
      <x:c r="I11" s="69"/>
      <x:c r="J11" s="69" t="str">
        <x:f>Resumo_Dados!J6</x:f>
        <x:v>GRUPO TEREOS</x:v>
      </x:c>
      <x:c r="K11" s="82" t="n">
        <x:f>Resumo_Dados!K6</x:f>
        <x:v>190000</x:v>
      </x:c>
      <x:c r="L11" s="83" t="n">
        <x:f>Resumo_Dados!L6</x:f>
        <x:v>67.5</x:v>
      </x:c>
      <x:c r="M11" s="69" t="str">
        <x:f>Resumo_Dados!M6</x:f>
        <x:v>Legacy</x:v>
      </x:c>
      <x:c r="N11" s="84" t="n">
        <x:f>Resumo_Dados!O6</x:f>
        <x:v>25555950</x:v>
      </x:c>
      <x:c r="O11" s="69"/>
      <x:c r="P11" s="69"/>
      <x:c r="Q11" s="69"/>
      <x:c r="R11" s="69"/>
      <x:c r="S11" s="69"/>
      <x:c r="T11" s="69"/>
      <x:c r="U11" s="69"/>
      <x:c r="V11" s="69"/>
      <x:c r="W11" s="69"/>
      <x:c r="X11" s="69"/>
      <x:c r="Y11" s="69"/>
      <x:c r="Z11" s="69"/>
      <x:c r="AA11" s="69"/>
      <x:c r="AB11" s="69"/>
      <x:c r="AC11" s="69"/>
    </x:row>
    <x:row r="12">
      <x:c r="A12" s="70" t="str">
        <x:f>Resumo_Dados!A7</x:f>
        <x:v>Legacy</x:v>
      </x:c>
      <x:c r="B12" s="78" t="n">
        <x:f>Resumo_Dados!B7</x:f>
        <x:v>4</x:v>
      </x:c>
      <x:c r="C12" s="78" t="n">
        <x:f>Resumo_Dados!C7</x:f>
        <x:v>770000</x:v>
      </x:c>
      <x:c r="D12" s="79" t="n">
        <x:f>Resumo_Dados!D7</x:f>
        <x:v>103696950</x:v>
      </x:c>
      <x:c r="E12" s="79" t="n">
        <x:f>Resumo_Dados!E7</x:f>
        <x:v>1923372</x:v>
      </x:c>
      <x:c r="F12" s="80" t="n">
        <x:f>Resumo_Dados!F7</x:f>
        <x:v>69.2</x:v>
      </x:c>
      <x:c r="G12" s="81" t="n">
        <x:f>Resumo_Dados!G7</x:f>
        <x:v>0.6299999999999999</x:v>
      </x:c>
      <x:c r="H12" s="81" t="n">
        <x:f>Resumo_Dados!H7</x:f>
        <x:v>0.09090909090909091</x:v>
      </x:c>
      <x:c r="I12" s="69"/>
      <x:c r="J12" s="69" t="str">
        <x:f>Resumo_Dados!J7</x:f>
        <x:v>GRUPO COCAL</x:v>
      </x:c>
      <x:c r="K12" s="82" t="n">
        <x:f>Resumo_Dados!K7</x:f>
        <x:v>140000</x:v>
      </x:c>
      <x:c r="L12" s="83" t="n">
        <x:f>Resumo_Dados!L7</x:f>
        <x:v>78.2</x:v>
      </x:c>
      <x:c r="M12" s="69" t="str">
        <x:f>Resumo_Dados!M7</x:f>
        <x:v>Prime</x:v>
      </x:c>
      <x:c r="N12" s="84" t="n">
        <x:f>Resumo_Dados!O7</x:f>
        <x:v>23314200</x:v>
      </x:c>
      <x:c r="O12" s="69"/>
      <x:c r="P12" s="69"/>
      <x:c r="Q12" s="69"/>
      <x:c r="R12" s="69"/>
      <x:c r="S12" s="69"/>
      <x:c r="T12" s="69"/>
      <x:c r="U12" s="69"/>
      <x:c r="V12" s="69"/>
      <x:c r="W12" s="69"/>
      <x:c r="X12" s="69"/>
      <x:c r="Y12" s="69"/>
      <x:c r="Z12" s="69"/>
      <x:c r="AA12" s="69"/>
      <x:c r="AB12" s="69"/>
      <x:c r="AC12" s="69"/>
    </x:row>
    <x:row r="13">
      <x:c r="A13" s="70" t="str">
        <x:f>Resumo_Dados!A8</x:f>
        <x:v>Legacy Anchor</x:v>
      </x:c>
      <x:c r="B13" s="78" t="n">
        <x:f>Resumo_Dados!B8</x:f>
        <x:v>1</x:v>
      </x:c>
      <x:c r="C13" s="78" t="n">
        <x:f>Resumo_Dados!C8</x:f>
        <x:v>1000000</x:v>
      </x:c>
      <x:c r="D13" s="79" t="n">
        <x:f>Resumo_Dados!D8</x:f>
        <x:v>149450000</x:v>
      </x:c>
      <x:c r="E13" s="79" t="n">
        <x:f>Resumo_Dados!E8</x:f>
        <x:v>3465000</x:v>
      </x:c>
      <x:c r="F13" s="80" t="n">
        <x:f>Resumo_Dados!F8</x:f>
        <x:v>77</x:v>
      </x:c>
      <x:c r="G13" s="81" t="n">
        <x:f>Resumo_Dados!G8</x:f>
        <x:v>0.7</x:v>
      </x:c>
      <x:c r="H13" s="81" t="n">
        <x:f>Resumo_Dados!H8</x:f>
        <x:v>0.022727272727272728</x:v>
      </x:c>
      <x:c r="I13" s="69"/>
      <x:c r="J13" s="69" t="str">
        <x:f>Resumo_Dados!J8</x:f>
        <x:v>GRUPO CORURIPE</x:v>
      </x:c>
      <x:c r="K13" s="82" t="n">
        <x:f>Resumo_Dados!K8</x:f>
        <x:v>180000</x:v>
      </x:c>
      <x:c r="L13" s="83" t="n">
        <x:f>Resumo_Dados!L8</x:f>
        <x:v>65</x:v>
      </x:c>
      <x:c r="M13" s="69" t="str">
        <x:f>Resumo_Dados!M8</x:f>
        <x:v>Legacy</x:v>
      </x:c>
      <x:c r="N13" s="84" t="n">
        <x:f>Resumo_Dados!O8</x:f>
        <x:v>23058000</x:v>
      </x:c>
      <x:c r="O13" s="69"/>
      <x:c r="P13" s="69"/>
      <x:c r="Q13" s="69"/>
      <x:c r="R13" s="69"/>
      <x:c r="S13" s="69"/>
      <x:c r="T13" s="69"/>
      <x:c r="U13" s="69"/>
      <x:c r="V13" s="69"/>
      <x:c r="W13" s="69"/>
      <x:c r="X13" s="69"/>
      <x:c r="Y13" s="69"/>
      <x:c r="Z13" s="69"/>
      <x:c r="AA13" s="69"/>
      <x:c r="AB13" s="69"/>
      <x:c r="AC13" s="69"/>
    </x:row>
    <x:row r="14">
      <x:c r="A14" s="69"/>
      <x:c r="B14" s="69"/>
      <x:c r="C14" s="69"/>
      <x:c r="D14" s="69"/>
      <x:c r="E14" s="69"/>
      <x:c r="F14" s="69"/>
      <x:c r="G14" s="69"/>
      <x:c r="H14" s="69"/>
      <x:c r="I14" s="69"/>
      <x:c r="J14" s="69" t="str">
        <x:f>Resumo_Dados!J9</x:f>
        <x:v>USINA IPIRANGA</x:v>
      </x:c>
      <x:c r="K14" s="82" t="n">
        <x:f>Resumo_Dados!K9</x:f>
        <x:v>200000</x:v>
      </x:c>
      <x:c r="L14" s="83" t="n">
        <x:f>Resumo_Dados!L9</x:f>
        <x:v>61.8</x:v>
      </x:c>
      <x:c r="M14" s="69" t="str">
        <x:f>Resumo_Dados!M9</x:f>
        <x:v>Legacy</x:v>
      </x:c>
      <x:c r="N14" s="84" t="n">
        <x:f>Resumo_Dados!O9</x:f>
        <x:v>21777000</x:v>
      </x:c>
      <x:c r="O14" s="69"/>
      <x:c r="P14" s="69"/>
      <x:c r="Q14" s="69"/>
      <x:c r="R14" s="69"/>
      <x:c r="S14" s="69"/>
      <x:c r="T14" s="69"/>
      <x:c r="U14" s="69"/>
      <x:c r="V14" s="69"/>
      <x:c r="W14" s="69"/>
      <x:c r="X14" s="69"/>
      <x:c r="Y14" s="69"/>
      <x:c r="Z14" s="69"/>
      <x:c r="AA14" s="69"/>
      <x:c r="AB14" s="69"/>
      <x:c r="AC14" s="69"/>
    </x:row>
    <x:row r="15">
      <x:c r="A15" s="69"/>
      <x:c r="B15" s="69"/>
      <x:c r="C15" s="69"/>
      <x:c r="D15" s="69"/>
      <x:c r="E15" s="69"/>
      <x:c r="F15" s="69"/>
      <x:c r="G15" s="69"/>
      <x:c r="H15" s="69"/>
      <x:c r="I15" s="69"/>
      <x:c r="J15" s="69" t="str">
        <x:f>Resumo_Dados!J10</x:f>
        <x:v>Grupo CMAA</x:v>
      </x:c>
      <x:c r="K15" s="82" t="n">
        <x:f>Resumo_Dados!K10</x:f>
        <x:v>120000</x:v>
      </x:c>
      <x:c r="L15" s="83" t="n">
        <x:f>Resumo_Dados!L10</x:f>
        <x:v>71.8</x:v>
      </x:c>
      <x:c r="M15" s="69" t="str">
        <x:f>Resumo_Dados!M10</x:f>
        <x:v>Prime</x:v>
      </x:c>
      <x:c r="N15" s="84" t="n">
        <x:f>Resumo_Dados!O10</x:f>
        <x:v>17677800</x:v>
      </x:c>
      <x:c r="O15" s="69"/>
      <x:c r="P15" s="69"/>
      <x:c r="Q15" s="69"/>
      <x:c r="R15" s="69"/>
      <x:c r="S15" s="69"/>
      <x:c r="T15" s="69"/>
      <x:c r="U15" s="69"/>
      <x:c r="V15" s="69"/>
      <x:c r="W15" s="69"/>
      <x:c r="X15" s="69"/>
      <x:c r="Y15" s="69"/>
      <x:c r="Z15" s="69"/>
      <x:c r="AA15" s="69"/>
      <x:c r="AB15" s="69"/>
      <x:c r="AC15" s="69"/>
    </x:row>
    <x:row r="16">
      <x:c r="A16" s="69"/>
      <x:c r="B16" s="69"/>
      <x:c r="C16" s="69"/>
      <x:c r="D16" s="69"/>
      <x:c r="E16" s="69"/>
      <x:c r="F16" s="69"/>
      <x:c r="G16" s="69"/>
      <x:c r="H16" s="69"/>
      <x:c r="I16" s="69"/>
      <x:c r="J16" s="69" t="str">
        <x:f>Resumo_Dados!J11</x:f>
        <x:v>GRUPO COFCO</x:v>
      </x:c>
      <x:c r="K16" s="82" t="n">
        <x:f>Resumo_Dados!K11</x:f>
        <x:v>90000</x:v>
      </x:c>
      <x:c r="L16" s="83" t="n">
        <x:f>Resumo_Dados!L11</x:f>
        <x:v>75.3</x:v>
      </x:c>
      <x:c r="M16" s="69" t="str">
        <x:f>Resumo_Dados!M11</x:f>
        <x:v>Prime</x:v>
      </x:c>
      <x:c r="N16" s="84" t="n">
        <x:f>Resumo_Dados!O11</x:f>
        <x:v>14987700</x:v>
      </x:c>
      <x:c r="O16" s="69"/>
      <x:c r="P16" s="69"/>
      <x:c r="Q16" s="69"/>
      <x:c r="R16" s="69"/>
      <x:c r="S16" s="69"/>
      <x:c r="T16" s="69"/>
      <x:c r="U16" s="69"/>
      <x:c r="V16" s="69"/>
      <x:c r="W16" s="69"/>
      <x:c r="X16" s="69"/>
      <x:c r="Y16" s="69"/>
      <x:c r="Z16" s="69"/>
      <x:c r="AA16" s="69"/>
      <x:c r="AB16" s="69"/>
      <x:c r="AC16" s="69"/>
    </x:row>
    <x:row r="17">
      <x:c r="A17" s="69"/>
      <x:c r="B17" s="69"/>
      <x:c r="C17" s="69"/>
      <x:c r="D17" s="69"/>
      <x:c r="E17" s="69"/>
      <x:c r="F17" s="69"/>
      <x:c r="G17" s="69"/>
      <x:c r="H17" s="69"/>
      <x:c r="I17" s="69"/>
      <x:c r="J17" s="69" t="str">
        <x:f>Resumo_Dados!J12</x:f>
        <x:v>USINA DELTA</x:v>
      </x:c>
      <x:c r="K17" s="82" t="n">
        <x:f>Resumo_Dados!K12</x:f>
        <x:v>120000</x:v>
      </x:c>
      <x:c r="L17" s="83" t="n">
        <x:f>Resumo_Dados!L12</x:f>
        <x:v>62</x:v>
      </x:c>
      <x:c r="M17" s="69" t="str">
        <x:f>Resumo_Dados!M12</x:f>
        <x:v>Flow</x:v>
      </x:c>
      <x:c r="N17" s="84" t="n">
        <x:f>Resumo_Dados!O12</x:f>
        <x:v>14347200</x:v>
      </x:c>
      <x:c r="O17" s="69"/>
      <x:c r="P17" s="69"/>
      <x:c r="Q17" s="69"/>
      <x:c r="R17" s="69"/>
      <x:c r="S17" s="69"/>
      <x:c r="T17" s="69"/>
      <x:c r="U17" s="69"/>
      <x:c r="V17" s="69"/>
      <x:c r="W17" s="69"/>
      <x:c r="X17" s="69"/>
      <x:c r="Y17" s="69"/>
      <x:c r="Z17" s="69"/>
      <x:c r="AA17" s="69"/>
      <x:c r="AB17" s="69"/>
      <x:c r="AC17" s="69"/>
    </x:row>
    <x:row r="18">
      <x:c r="A18" s="69"/>
      <x:c r="B18" s="69"/>
      <x:c r="C18" s="69"/>
      <x:c r="D18" s="69"/>
      <x:c r="E18" s="69"/>
      <x:c r="F18" s="69"/>
      <x:c r="G18" s="69"/>
      <x:c r="H18" s="69"/>
      <x:c r="I18" s="69"/>
      <x:c r="J18" s="69" t="str">
        <x:f>Resumo_Dados!J13</x:f>
        <x:v>GRUPO VALE DO VERDÃO</x:v>
      </x:c>
      <x:c r="K18" s="82" t="n">
        <x:f>Resumo_Dados!K13</x:f>
        <x:v>155000</x:v>
      </x:c>
      <x:c r="L18" s="83" t="n">
        <x:f>Resumo_Dados!L13</x:f>
        <x:v>51.8</x:v>
      </x:c>
      <x:c r="M18" s="69" t="str">
        <x:f>Resumo_Dados!M13</x:f>
        <x:v>Flow</x:v>
      </x:c>
      <x:c r="N18" s="84" t="n">
        <x:f>Resumo_Dados!O13</x:f>
        <x:v>14229775</x:v>
      </x:c>
      <x:c r="O18" s="69"/>
      <x:c r="P18" s="69"/>
      <x:c r="Q18" s="69"/>
      <x:c r="R18" s="69"/>
      <x:c r="S18" s="69"/>
      <x:c r="T18" s="69"/>
      <x:c r="U18" s="69"/>
      <x:c r="V18" s="69"/>
      <x:c r="W18" s="69"/>
      <x:c r="X18" s="69"/>
      <x:c r="Y18" s="69"/>
      <x:c r="Z18" s="69"/>
      <x:c r="AA18" s="69"/>
      <x:c r="AB18" s="69"/>
      <x:c r="AC18" s="69"/>
    </x:row>
    <x:row r="19">
      <x:c r="A19" s="69"/>
      <x:c r="B19" s="69"/>
      <x:c r="C19" s="69"/>
      <x:c r="D19" s="69"/>
      <x:c r="E19" s="69"/>
      <x:c r="F19" s="69"/>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x:c r="B22" s="69"/>
      <x:c r="C22" s="69"/>
      <x:c r="D22" s="69"/>
      <x:c r="E22" s="69"/>
      <x:c r="F22" s="69"/>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N1"/>
    <x:mergeCell ref="A3:B3"/>
    <x:mergeCell ref="A4:B4"/>
    <x:mergeCell ref="A5:B5"/>
    <x:mergeCell ref="C3:D3"/>
    <x:mergeCell ref="C4:D4"/>
    <x:mergeCell ref="C5:D5"/>
    <x:mergeCell ref="E3:F3"/>
    <x:mergeCell ref="E4:F4"/>
    <x:mergeCell ref="E5:F5"/>
    <x:mergeCell ref="G3:H3"/>
    <x:mergeCell ref="G4:H4"/>
    <x:mergeCell ref="G5:H5"/>
    <x:mergeCell ref="I3:J3"/>
    <x:mergeCell ref="I4:J4"/>
    <x:mergeCell ref="I5:J5"/>
    <x:mergeCell ref="K3:L3"/>
    <x:mergeCell ref="K4:L4"/>
    <x:mergeCell ref="K5:L5"/>
  </x:mergeCells>
  <x:pageMargins left="0.7" right="0.7" top="0.75" bottom="0.75" header="0.3" footer="0.3"/>
  <x:drawing xmlns:r="http://schemas.openxmlformats.org/officeDocument/2006/relationships" r:id="Rb905bf1c58aa413b"/>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8" hidden="0" customWidth="1"/>
    <x:col min="5" max="5" width="28" hidden="0" customWidth="1"/>
    <x:col min="6" max="6" width="28" hidden="0" customWidth="1"/>
    <x:col min="7" max="7" width="28" hidden="0" customWidth="1"/>
    <x:col min="8" max="8" width="28" hidden="0" customWidth="1"/>
  </x:cols>
  <x:sheetData>
    <x:row r="1">
      <x:c r="A1" s="68" t="str">
        <x:v>Jornada Kaizen Orizon — Todos iniciam em K0, independentemente da categoria comercial</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7" t="str">
        <x:v>Stage</x:v>
      </x:c>
      <x:c r="B3" s="77" t="str">
        <x:v>Nome</x:v>
      </x:c>
      <x:c r="C3" s="77" t="str">
        <x:v>Pontuação mínima</x:v>
      </x:c>
      <x:c r="D3" s="77" t="str">
        <x:v>Entrega obrigatória</x:v>
      </x:c>
      <x:c r="E3" s="77" t="str">
        <x:v>Evidência</x:v>
      </x:c>
      <x:c r="F3" s="77" t="str">
        <x:v>Créditos sugeridos</x:v>
      </x:c>
      <x:c r="G3" s="77" t="str">
        <x:v>Responsável</x:v>
      </x:c>
      <x:c r="H3" s="77" t="str">
        <x:v>Objetivo executivo</x:v>
      </x:c>
      <x:c r="I3" s="69"/>
      <x:c r="J3" s="69"/>
      <x:c r="K3" s="69"/>
      <x:c r="L3" s="69"/>
      <x:c r="M3" s="69"/>
      <x:c r="N3" s="69"/>
      <x:c r="O3" s="69"/>
      <x:c r="P3" s="69"/>
      <x:c r="Q3" s="69"/>
      <x:c r="R3" s="69"/>
      <x:c r="S3" s="69"/>
      <x:c r="T3" s="69"/>
      <x:c r="U3" s="69"/>
      <x:c r="V3" s="69"/>
      <x:c r="W3" s="69"/>
      <x:c r="X3" s="69"/>
      <x:c r="Y3" s="69"/>
      <x:c r="Z3" s="69"/>
      <x:c r="AA3" s="69"/>
      <x:c r="AB3" s="69"/>
      <x:c r="AC3" s="69"/>
    </x:row>
    <x:row r="4">
      <x:c r="A4" s="69" t="str">
        <x:v>K0</x:v>
      </x:c>
      <x:c r="B4" s="69" t="str">
        <x:v>Entrada / Sem diagnóstico</x:v>
      </x:c>
      <x:c r="C4" s="69" t="n">
        <x:v>0</x:v>
      </x:c>
      <x:c r="D4" s="69" t="str">
        <x:v>Cadastro do cliente e dados de área</x:v>
      </x:c>
      <x:c r="E4" s="69" t="str">
        <x:v>Base validada</x:v>
      </x:c>
      <x:c r="F4" s="69" t="n">
        <x:v>0</x:v>
      </x:c>
      <x:c r="G4" s="69" t="str">
        <x:v>Comercial/DTM</x:v>
      </x:c>
      <x:c r="H4" s="69" t="str">
        <x:v>Mapear potencial</x:v>
      </x:c>
      <x:c r="I4" s="69"/>
      <x:c r="J4" s="69"/>
      <x:c r="K4" s="69"/>
      <x:c r="L4" s="69"/>
      <x:c r="M4" s="69"/>
      <x:c r="N4" s="69"/>
      <x:c r="O4" s="69"/>
      <x:c r="P4" s="69"/>
      <x:c r="Q4" s="69"/>
      <x:c r="R4" s="69"/>
      <x:c r="S4" s="69"/>
      <x:c r="T4" s="69"/>
      <x:c r="U4" s="69"/>
      <x:c r="V4" s="69"/>
      <x:c r="W4" s="69"/>
      <x:c r="X4" s="69"/>
      <x:c r="Y4" s="69"/>
      <x:c r="Z4" s="69"/>
      <x:c r="AA4" s="69"/>
      <x:c r="AB4" s="69"/>
      <x:c r="AC4" s="69"/>
    </x:row>
    <x:row r="5">
      <x:c r="A5" s="69" t="str">
        <x:v>K1</x:v>
      </x:c>
      <x:c r="B5" s="69" t="str">
        <x:v>Diagnóstico</x:v>
      </x:c>
      <x:c r="C5" s="69" t="n">
        <x:v>100</x:v>
      </x:c>
      <x:c r="D5" s="69" t="str">
        <x:v>Diagnóstico técnico-operacional</x:v>
      </x:c>
      <x:c r="E5" s="69" t="str">
        <x:v>Relatório diagnóstico</x:v>
      </x:c>
      <x:c r="F5" s="69" t="n">
        <x:v>250</x:v>
      </x:c>
      <x:c r="G5" s="69" t="str">
        <x:v>DTM/Consultoria</x:v>
      </x:c>
      <x:c r="H5" s="69" t="str">
        <x:v>Identificar gargalos</x:v>
      </x:c>
      <x:c r="I5" s="69"/>
      <x:c r="J5" s="69"/>
      <x:c r="K5" s="69"/>
      <x:c r="L5" s="69"/>
      <x:c r="M5" s="69"/>
      <x:c r="N5" s="69"/>
      <x:c r="O5" s="69"/>
      <x:c r="P5" s="69"/>
      <x:c r="Q5" s="69"/>
      <x:c r="R5" s="69"/>
      <x:c r="S5" s="69"/>
      <x:c r="T5" s="69"/>
      <x:c r="U5" s="69"/>
      <x:c r="V5" s="69"/>
      <x:c r="W5" s="69"/>
      <x:c r="X5" s="69"/>
      <x:c r="Y5" s="69"/>
      <x:c r="Z5" s="69"/>
      <x:c r="AA5" s="69"/>
      <x:c r="AB5" s="69"/>
      <x:c r="AC5" s="69"/>
    </x:row>
    <x:row r="6">
      <x:c r="A6" s="69" t="str">
        <x:v>K2</x:v>
      </x:c>
      <x:c r="B6" s="69" t="str">
        <x:v>Plano de ação</x:v>
      </x:c>
      <x:c r="C6" s="69" t="n">
        <x:v>250</x:v>
      </x:c>
      <x:c r="D6" s="69" t="str">
        <x:v>Plano de melhoria priorizado</x:v>
      </x:c>
      <x:c r="E6" s="69" t="str">
        <x:v>Plano aprovado</x:v>
      </x:c>
      <x:c r="F6" s="69" t="n">
        <x:v>300</x:v>
      </x:c>
      <x:c r="G6" s="69" t="str">
        <x:v>DTM + Cliente</x:v>
      </x:c>
      <x:c r="H6" s="69" t="str">
        <x:v>Definir projetos</x:v>
      </x:c>
      <x:c r="I6" s="69"/>
      <x:c r="J6" s="69"/>
      <x:c r="K6" s="69"/>
      <x:c r="L6" s="69"/>
      <x:c r="M6" s="69"/>
      <x:c r="N6" s="69"/>
      <x:c r="O6" s="69"/>
      <x:c r="P6" s="69"/>
      <x:c r="Q6" s="69"/>
      <x:c r="R6" s="69"/>
      <x:c r="S6" s="69"/>
      <x:c r="T6" s="69"/>
      <x:c r="U6" s="69"/>
      <x:c r="V6" s="69"/>
      <x:c r="W6" s="69"/>
      <x:c r="X6" s="69"/>
      <x:c r="Y6" s="69"/>
      <x:c r="Z6" s="69"/>
      <x:c r="AA6" s="69"/>
      <x:c r="AB6" s="69"/>
      <x:c r="AC6" s="69"/>
    </x:row>
    <x:row r="7">
      <x:c r="A7" s="69" t="str">
        <x:v>K3</x:v>
      </x:c>
      <x:c r="B7" s="69" t="str">
        <x:v>Projeto implantado</x:v>
      </x:c>
      <x:c r="C7" s="69" t="n">
        <x:v>500</x:v>
      </x:c>
      <x:c r="D7" s="69" t="str">
        <x:v>Projeto em campo/operacional</x:v>
      </x:c>
      <x:c r="E7" s="69" t="str">
        <x:v>Evidência de execução</x:v>
      </x:c>
      <x:c r="F7" s="69" t="n">
        <x:v>500</x:v>
      </x:c>
      <x:c r="G7" s="69" t="str">
        <x:v>NOOA + Parceiros</x:v>
      </x:c>
      <x:c r="H7" s="69" t="str">
        <x:v>Gerar resultado</x:v>
      </x:c>
      <x:c r="I7" s="69"/>
      <x:c r="J7" s="69"/>
      <x:c r="K7" s="69"/>
      <x:c r="L7" s="69"/>
      <x:c r="M7" s="69"/>
      <x:c r="N7" s="69"/>
      <x:c r="O7" s="69"/>
      <x:c r="P7" s="69"/>
      <x:c r="Q7" s="69"/>
      <x:c r="R7" s="69"/>
      <x:c r="S7" s="69"/>
      <x:c r="T7" s="69"/>
      <x:c r="U7" s="69"/>
      <x:c r="V7" s="69"/>
      <x:c r="W7" s="69"/>
      <x:c r="X7" s="69"/>
      <x:c r="Y7" s="69"/>
      <x:c r="Z7" s="69"/>
      <x:c r="AA7" s="69"/>
      <x:c r="AB7" s="69"/>
      <x:c r="AC7" s="69"/>
    </x:row>
    <x:row r="8">
      <x:c r="A8" s="69" t="str">
        <x:v>K4</x:v>
      </x:c>
      <x:c r="B8" s="69" t="str">
        <x:v>ROI validado</x:v>
      </x:c>
      <x:c r="C8" s="69" t="n">
        <x:v>750</x:v>
      </x:c>
      <x:c r="D8" s="69" t="str">
        <x:v>Resultado econômico validado</x:v>
      </x:c>
      <x:c r="E8" s="69" t="str">
        <x:v>ROI, TCH, ATR ou indicador técnico</x:v>
      </x:c>
      <x:c r="F8" s="69" t="n">
        <x:v>700</x:v>
      </x:c>
      <x:c r="G8" s="69" t="str">
        <x:v>NOOA + Cliente</x:v>
      </x:c>
      <x:c r="H8" s="69" t="str">
        <x:v>Comprovar valor</x:v>
      </x:c>
      <x:c r="I8" s="69"/>
      <x:c r="J8" s="69"/>
      <x:c r="K8" s="69"/>
      <x:c r="L8" s="69"/>
      <x:c r="M8" s="69"/>
      <x:c r="N8" s="69"/>
      <x:c r="O8" s="69"/>
      <x:c r="P8" s="69"/>
      <x:c r="Q8" s="69"/>
      <x:c r="R8" s="69"/>
      <x:c r="S8" s="69"/>
      <x:c r="T8" s="69"/>
      <x:c r="U8" s="69"/>
      <x:c r="V8" s="69"/>
      <x:c r="W8" s="69"/>
      <x:c r="X8" s="69"/>
      <x:c r="Y8" s="69"/>
      <x:c r="Z8" s="69"/>
      <x:c r="AA8" s="69"/>
      <x:c r="AB8" s="69"/>
      <x:c r="AC8" s="69"/>
    </x:row>
    <x:row r="9">
      <x:c r="A9" s="69" t="str">
        <x:v>K5</x:v>
      </x:c>
      <x:c r="B9" s="69" t="str">
        <x:v>Benchmark</x:v>
      </x:c>
      <x:c r="C9" s="69" t="n">
        <x:v>1000</x:v>
      </x:c>
      <x:c r="D9" s="69" t="str">
        <x:v>Replicação e vitrine</x:v>
      </x:c>
      <x:c r="E9" s="69" t="str">
        <x:v>Dia de campo/case/replicação</x:v>
      </x:c>
      <x:c r="F9" s="69" t="n">
        <x:v>1000</x:v>
      </x:c>
      <x:c r="G9" s="69" t="str">
        <x:v>Diretoria/Cliente</x:v>
      </x:c>
      <x:c r="H9" s="69" t="str">
        <x:v>Escalar ecossistema</x:v>
      </x:c>
      <x:c r="I9" s="69"/>
      <x:c r="J9" s="69"/>
      <x:c r="K9" s="69"/>
      <x:c r="L9" s="69"/>
      <x:c r="M9" s="69"/>
      <x:c r="N9" s="69"/>
      <x:c r="O9" s="69"/>
      <x:c r="P9" s="69"/>
      <x:c r="Q9" s="69"/>
      <x:c r="R9" s="69"/>
      <x:c r="S9" s="69"/>
      <x:c r="T9" s="69"/>
      <x:c r="U9" s="69"/>
      <x:c r="V9" s="69"/>
      <x:c r="W9" s="69"/>
      <x:c r="X9" s="69"/>
      <x:c r="Y9" s="69"/>
      <x:c r="Z9" s="69"/>
      <x:c r="AA9" s="69"/>
      <x:c r="AB9" s="69"/>
      <x:c r="AC9" s="69"/>
    </x:row>
    <x:row r="10">
      <x:c r="A10" s="69"/>
      <x:c r="B10" s="69"/>
      <x:c r="C10" s="69"/>
      <x:c r="D10" s="69"/>
      <x:c r="E10" s="69"/>
      <x:c r="F10" s="69"/>
      <x:c r="G10" s="69"/>
      <x:c r="H10" s="69"/>
      <x:c r="I10" s="69"/>
      <x:c r="J10" s="69"/>
      <x:c r="K10" s="69"/>
      <x:c r="L10" s="69"/>
      <x:c r="M10" s="69"/>
      <x:c r="N10" s="69"/>
      <x:c r="O10" s="69"/>
      <x:c r="P10" s="69"/>
      <x:c r="Q10" s="69"/>
      <x:c r="R10" s="69"/>
      <x:c r="S10" s="69"/>
      <x:c r="T10" s="69"/>
      <x:c r="U10" s="69"/>
      <x:c r="V10" s="69"/>
      <x:c r="W10" s="69"/>
      <x:c r="X10" s="69"/>
      <x:c r="Y10" s="69"/>
      <x:c r="Z10" s="69"/>
      <x:c r="AA10" s="69"/>
      <x:c r="AB10" s="69"/>
      <x:c r="AC10" s="69"/>
    </x:row>
    <x:row r="11">
      <x:c r="A11" s="69"/>
      <x:c r="B11" s="69"/>
      <x:c r="C11" s="69"/>
      <x:c r="D11" s="69"/>
      <x:c r="E11" s="69"/>
      <x:c r="F11" s="69"/>
      <x:c r="G11" s="69"/>
      <x:c r="H11" s="69"/>
      <x:c r="I11" s="69"/>
      <x:c r="J11" s="69"/>
      <x:c r="K11" s="69"/>
      <x:c r="L11" s="69"/>
      <x:c r="M11" s="69"/>
      <x:c r="N11" s="69"/>
      <x:c r="O11" s="69"/>
      <x:c r="P11" s="69"/>
      <x:c r="Q11" s="69"/>
      <x:c r="R11" s="69"/>
      <x:c r="S11" s="69"/>
      <x:c r="T11" s="69"/>
      <x:c r="U11" s="69"/>
      <x:c r="V11" s="69"/>
      <x:c r="W11" s="69"/>
      <x:c r="X11" s="69"/>
      <x:c r="Y11" s="69"/>
      <x:c r="Z11" s="69"/>
      <x:c r="AA11" s="69"/>
      <x:c r="AB11" s="69"/>
      <x:c r="AC11" s="69"/>
    </x:row>
    <x:row r="12">
      <x:c r="A12" s="69"/>
      <x:c r="B12" s="69"/>
      <x:c r="C12" s="69"/>
      <x:c r="D12" s="69"/>
      <x:c r="E12" s="69"/>
      <x:c r="F12" s="69"/>
      <x:c r="G12" s="69"/>
      <x:c r="H12" s="69"/>
      <x:c r="I12" s="69"/>
      <x:c r="J12" s="69"/>
      <x:c r="K12" s="69"/>
      <x:c r="L12" s="69"/>
      <x:c r="M12" s="69"/>
      <x:c r="N12" s="69"/>
      <x:c r="O12" s="69"/>
      <x:c r="P12" s="69"/>
      <x:c r="Q12" s="69"/>
      <x:c r="R12" s="69"/>
      <x:c r="S12" s="69"/>
      <x:c r="T12" s="69"/>
      <x:c r="U12" s="69"/>
      <x:c r="V12" s="69"/>
      <x:c r="W12" s="69"/>
      <x:c r="X12" s="69"/>
      <x:c r="Y12" s="69"/>
      <x:c r="Z12" s="69"/>
      <x:c r="AA12" s="69"/>
      <x:c r="AB12" s="69"/>
      <x:c r="AC12" s="69"/>
    </x:row>
    <x:row r="13">
      <x:c r="A13" s="69"/>
      <x:c r="B13" s="69"/>
      <x:c r="C13" s="69"/>
      <x:c r="D13" s="69"/>
      <x:c r="E13" s="69"/>
      <x:c r="F13" s="69"/>
      <x:c r="G13" s="69"/>
      <x:c r="H13" s="69"/>
      <x:c r="I13" s="69"/>
      <x:c r="J13" s="69"/>
      <x:c r="K13" s="69"/>
      <x:c r="L13" s="69"/>
      <x:c r="M13" s="69"/>
      <x:c r="N13" s="69"/>
      <x:c r="O13" s="69"/>
      <x:c r="P13" s="69"/>
      <x:c r="Q13" s="69"/>
      <x:c r="R13" s="69"/>
      <x:c r="S13" s="69"/>
      <x:c r="T13" s="69"/>
      <x:c r="U13" s="69"/>
      <x:c r="V13" s="69"/>
      <x:c r="W13" s="69"/>
      <x:c r="X13" s="69"/>
      <x:c r="Y13" s="69"/>
      <x:c r="Z13" s="69"/>
      <x:c r="AA13" s="69"/>
      <x:c r="AB13" s="69"/>
      <x:c r="AC13" s="69"/>
    </x:row>
    <x:row r="14">
      <x:c r="A14" s="69"/>
      <x:c r="B14" s="69"/>
      <x:c r="C14" s="69"/>
      <x:c r="D14" s="69"/>
      <x:c r="E14" s="69"/>
      <x:c r="F14" s="69"/>
      <x:c r="G14" s="69"/>
      <x:c r="H14" s="69"/>
      <x:c r="I14" s="69"/>
      <x:c r="J14" s="69"/>
      <x:c r="K14" s="69"/>
      <x:c r="L14" s="69"/>
      <x:c r="M14" s="69"/>
      <x:c r="N14" s="69"/>
      <x:c r="O14" s="69"/>
      <x:c r="P14" s="69"/>
      <x:c r="Q14" s="69"/>
      <x:c r="R14" s="69"/>
      <x:c r="S14" s="69"/>
      <x:c r="T14" s="69"/>
      <x:c r="U14" s="69"/>
      <x:c r="V14" s="69"/>
      <x:c r="W14" s="69"/>
      <x:c r="X14" s="69"/>
      <x:c r="Y14" s="69"/>
      <x:c r="Z14" s="69"/>
      <x:c r="AA14" s="69"/>
      <x:c r="AB14" s="69"/>
      <x:c r="AC14" s="69"/>
    </x:row>
    <x:row r="15">
      <x:c r="A15" s="69"/>
      <x:c r="B15" s="69"/>
      <x:c r="C15" s="69"/>
      <x:c r="D15" s="69"/>
      <x:c r="E15" s="69"/>
      <x:c r="F15" s="69"/>
      <x:c r="G15" s="69"/>
      <x:c r="H15" s="69"/>
      <x:c r="I15" s="69"/>
      <x:c r="J15" s="69"/>
      <x:c r="K15" s="69"/>
      <x:c r="L15" s="69"/>
      <x:c r="M15" s="69"/>
      <x:c r="N15" s="69"/>
      <x:c r="O15" s="69"/>
      <x:c r="P15" s="69"/>
      <x:c r="Q15" s="69"/>
      <x:c r="R15" s="69"/>
      <x:c r="S15" s="69"/>
      <x:c r="T15" s="69"/>
      <x:c r="U15" s="69"/>
      <x:c r="V15" s="69"/>
      <x:c r="W15" s="69"/>
      <x:c r="X15" s="69"/>
      <x:c r="Y15" s="69"/>
      <x:c r="Z15" s="69"/>
      <x:c r="AA15" s="69"/>
      <x:c r="AB15" s="69"/>
      <x:c r="AC15" s="69"/>
    </x:row>
    <x:row r="16">
      <x:c r="A16" s="69"/>
      <x:c r="B16" s="69"/>
      <x:c r="C16" s="69"/>
      <x:c r="D16" s="69"/>
      <x:c r="E16" s="69"/>
      <x:c r="F16" s="69"/>
      <x:c r="G16" s="69"/>
      <x:c r="H16" s="69"/>
      <x:c r="I16" s="69"/>
      <x:c r="J16" s="69"/>
      <x:c r="K16" s="69"/>
      <x:c r="L16" s="69"/>
      <x:c r="M16" s="69"/>
      <x:c r="N16" s="69"/>
      <x:c r="O16" s="69"/>
      <x:c r="P16" s="69"/>
      <x:c r="Q16" s="69"/>
      <x:c r="R16" s="69"/>
      <x:c r="S16" s="69"/>
      <x:c r="T16" s="69"/>
      <x:c r="U16" s="69"/>
      <x:c r="V16" s="69"/>
      <x:c r="W16" s="69"/>
      <x:c r="X16" s="69"/>
      <x:c r="Y16" s="69"/>
      <x:c r="Z16" s="69"/>
      <x:c r="AA16" s="69"/>
      <x:c r="AB16" s="69"/>
      <x:c r="AC16" s="69"/>
    </x:row>
    <x:row r="17">
      <x:c r="A17" s="69"/>
      <x:c r="B17" s="69"/>
      <x:c r="C17" s="69"/>
      <x:c r="D17" s="69"/>
      <x:c r="E17" s="69"/>
      <x:c r="F17" s="69"/>
      <x:c r="G17" s="69"/>
      <x:c r="H17" s="69"/>
      <x:c r="I17" s="69"/>
      <x:c r="J17" s="69"/>
      <x:c r="K17" s="69"/>
      <x:c r="L17" s="69"/>
      <x:c r="M17" s="69"/>
      <x:c r="N17" s="69"/>
      <x:c r="O17" s="69"/>
      <x:c r="P17" s="69"/>
      <x:c r="Q17" s="69"/>
      <x:c r="R17" s="69"/>
      <x:c r="S17" s="69"/>
      <x:c r="T17" s="69"/>
      <x:c r="U17" s="69"/>
      <x:c r="V17" s="69"/>
      <x:c r="W17" s="69"/>
      <x:c r="X17" s="69"/>
      <x:c r="Y17" s="69"/>
      <x:c r="Z17" s="69"/>
      <x:c r="AA17" s="69"/>
      <x:c r="AB17" s="69"/>
      <x:c r="AC17" s="69"/>
    </x:row>
    <x:row r="18">
      <x:c r="A18" s="69"/>
      <x:c r="B18" s="69"/>
      <x:c r="C18" s="69"/>
      <x:c r="D18" s="69"/>
      <x:c r="E18" s="69"/>
      <x:c r="F18" s="69"/>
      <x:c r="G18" s="69"/>
      <x:c r="H18" s="69"/>
      <x:c r="I18" s="69"/>
      <x:c r="J18" s="69"/>
      <x:c r="K18" s="69"/>
      <x:c r="L18" s="69"/>
      <x:c r="M18" s="69"/>
      <x:c r="N18" s="69"/>
      <x:c r="O18" s="69"/>
      <x:c r="P18" s="69"/>
      <x:c r="Q18" s="69"/>
      <x:c r="R18" s="69"/>
      <x:c r="S18" s="69"/>
      <x:c r="T18" s="69"/>
      <x:c r="U18" s="69"/>
      <x:c r="V18" s="69"/>
      <x:c r="W18" s="69"/>
      <x:c r="X18" s="69"/>
      <x:c r="Y18" s="69"/>
      <x:c r="Z18" s="69"/>
      <x:c r="AA18" s="69"/>
      <x:c r="AB18" s="69"/>
      <x:c r="AC18" s="69"/>
    </x:row>
    <x:row r="19">
      <x:c r="A19" s="69"/>
      <x:c r="B19" s="69"/>
      <x:c r="C19" s="69"/>
      <x:c r="D19" s="69"/>
      <x:c r="E19" s="69"/>
      <x:c r="F19" s="69"/>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x:c r="B22" s="69"/>
      <x:c r="C22" s="69"/>
      <x:c r="D22" s="69"/>
      <x:c r="E22" s="69"/>
      <x:c r="F22" s="69"/>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H1"/>
  </x:mergeCells>
  <x:pageMargins left="0.7" right="0.7" top="0.75" bottom="0.75" header="0.3" footer="0.3"/>
  <x:tableParts count="1">
    <x:tablePart xmlns:r="http://schemas.openxmlformats.org/officeDocument/2006/relationships" r:id="R39cb42d1aa484a4c"/>
  </x:tableParts>
</x:worksheet>
</file>

<file path=xl/worksheets/sheet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44" hidden="0" customWidth="1"/>
    <x:col min="6" max="6" width="22" hidden="0" customWidth="1"/>
  </x:cols>
  <x:sheetData>
    <x:row r="1">
      <x:c r="A1" s="68" t="str">
        <x:v>Orizon SaaS — Modelo lógico de dados para implementação no Codex</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7" t="str">
        <x:v>Entidade</x:v>
      </x:c>
      <x:c r="B3" s="77" t="str">
        <x:v>Campo</x:v>
      </x:c>
      <x:c r="C3" s="77" t="str">
        <x:v>Tipo sugerido</x:v>
      </x:c>
      <x:c r="D3" s="77" t="str">
        <x:v>Origem</x:v>
      </x:c>
      <x:c r="E3" s="77" t="str">
        <x:v>Regra/Descrição</x:v>
      </x:c>
      <x:c r="F3" s="77" t="str">
        <x:v>Obrigatório</x:v>
      </x:c>
      <x:c r="G3" s="69"/>
      <x:c r="H3" s="69"/>
      <x:c r="I3" s="69"/>
      <x:c r="J3" s="69"/>
      <x:c r="K3" s="69"/>
      <x:c r="L3" s="69"/>
      <x:c r="M3" s="69"/>
      <x:c r="N3" s="69"/>
      <x:c r="O3" s="69"/>
      <x:c r="P3" s="69"/>
      <x:c r="Q3" s="69"/>
      <x:c r="R3" s="69"/>
      <x:c r="S3" s="69"/>
      <x:c r="T3" s="69"/>
      <x:c r="U3" s="69"/>
      <x:c r="V3" s="69"/>
      <x:c r="W3" s="69"/>
      <x:c r="X3" s="69"/>
      <x:c r="Y3" s="69"/>
      <x:c r="Z3" s="69"/>
      <x:c r="AA3" s="69"/>
      <x:c r="AB3" s="69"/>
      <x:c r="AC3" s="69"/>
    </x:row>
    <x:row r="4">
      <x:c r="A4" s="69" t="str">
        <x:v>clientes</x:v>
      </x:c>
      <x:c r="B4" s="69" t="str">
        <x:v>cliente_id</x:v>
      </x:c>
      <x:c r="C4" s="69" t="str">
        <x:v>uuid</x:v>
      </x:c>
      <x:c r="D4" s="69" t="str">
        <x:v>sistema</x:v>
      </x:c>
      <x:c r="E4" s="69" t="str">
        <x:v>Identificador único</x:v>
      </x:c>
      <x:c r="F4" s="69" t="str">
        <x:v>Sim</x:v>
      </x:c>
      <x:c r="G4" s="69"/>
      <x:c r="H4" s="69"/>
      <x:c r="I4" s="69"/>
      <x:c r="J4" s="69"/>
      <x:c r="K4" s="69"/>
      <x:c r="L4" s="69"/>
      <x:c r="M4" s="69"/>
      <x:c r="N4" s="69"/>
      <x:c r="O4" s="69"/>
      <x:c r="P4" s="69"/>
      <x:c r="Q4" s="69"/>
      <x:c r="R4" s="69"/>
      <x:c r="S4" s="69"/>
      <x:c r="T4" s="69"/>
      <x:c r="U4" s="69"/>
      <x:c r="V4" s="69"/>
      <x:c r="W4" s="69"/>
      <x:c r="X4" s="69"/>
      <x:c r="Y4" s="69"/>
      <x:c r="Z4" s="69"/>
      <x:c r="AA4" s="69"/>
      <x:c r="AB4" s="69"/>
      <x:c r="AC4" s="69"/>
    </x:row>
    <x:row r="5">
      <x:c r="A5" s="69" t="str">
        <x:v>clientes</x:v>
      </x:c>
      <x:c r="B5" s="69" t="str">
        <x:v>nome</x:v>
      </x:c>
      <x:c r="C5" s="69" t="str">
        <x:v>text</x:v>
      </x:c>
      <x:c r="D5" s="69" t="str">
        <x:v>Clientes_Orizon_V2</x:v>
      </x:c>
      <x:c r="E5" s="69" t="str">
        <x:v>Nome do grupo/usina</x:v>
      </x:c>
      <x:c r="F5" s="69" t="str">
        <x:v>Sim</x:v>
      </x:c>
      <x:c r="G5" s="69"/>
      <x:c r="H5" s="69"/>
      <x:c r="I5" s="69"/>
      <x:c r="J5" s="69"/>
      <x:c r="K5" s="69"/>
      <x:c r="L5" s="69"/>
      <x:c r="M5" s="69"/>
      <x:c r="N5" s="69"/>
      <x:c r="O5" s="69"/>
      <x:c r="P5" s="69"/>
      <x:c r="Q5" s="69"/>
      <x:c r="R5" s="69"/>
      <x:c r="S5" s="69"/>
      <x:c r="T5" s="69"/>
      <x:c r="U5" s="69"/>
      <x:c r="V5" s="69"/>
      <x:c r="W5" s="69"/>
      <x:c r="X5" s="69"/>
      <x:c r="Y5" s="69"/>
      <x:c r="Z5" s="69"/>
      <x:c r="AA5" s="69"/>
      <x:c r="AB5" s="69"/>
      <x:c r="AC5" s="69"/>
    </x:row>
    <x:row r="6">
      <x:c r="A6" s="69" t="str">
        <x:v>clientes</x:v>
      </x:c>
      <x:c r="B6" s="69" t="str">
        <x:v>categoria_orizon</x:v>
      </x:c>
      <x:c r="C6" s="69" t="str">
        <x:v>enum</x:v>
      </x:c>
      <x:c r="D6" s="69" t="str">
        <x:v>OPI</x:v>
      </x:c>
      <x:c r="E6" s="69" t="str">
        <x:v>Foundation, Flow, Prime, Legacy, Legacy Anchor</x:v>
      </x:c>
      <x:c r="F6" s="69" t="str">
        <x:v>Sim</x:v>
      </x:c>
      <x:c r="G6" s="69"/>
      <x:c r="H6" s="69"/>
      <x:c r="I6" s="69"/>
      <x:c r="J6" s="69"/>
      <x:c r="K6" s="69"/>
      <x:c r="L6" s="69"/>
      <x:c r="M6" s="69"/>
      <x:c r="N6" s="69"/>
      <x:c r="O6" s="69"/>
      <x:c r="P6" s="69"/>
      <x:c r="Q6" s="69"/>
      <x:c r="R6" s="69"/>
      <x:c r="S6" s="69"/>
      <x:c r="T6" s="69"/>
      <x:c r="U6" s="69"/>
      <x:c r="V6" s="69"/>
      <x:c r="W6" s="69"/>
      <x:c r="X6" s="69"/>
      <x:c r="Y6" s="69"/>
      <x:c r="Z6" s="69"/>
      <x:c r="AA6" s="69"/>
      <x:c r="AB6" s="69"/>
      <x:c r="AC6" s="69"/>
    </x:row>
    <x:row r="7">
      <x:c r="A7" s="69" t="str">
        <x:v>clientes</x:v>
      </x:c>
      <x:c r="B7" s="69" t="str">
        <x:v>opi</x:v>
      </x:c>
      <x:c r="C7" s="69" t="str">
        <x:v>decimal</x:v>
      </x:c>
      <x:c r="D7" s="69" t="str">
        <x:v>fórmula</x:v>
      </x:c>
      <x:c r="E7" s="69" t="str">
        <x:v>Orizon Potential Index 0–100</x:v>
      </x:c>
      <x:c r="F7" s="69" t="str">
        <x:v>Sim</x:v>
      </x:c>
      <x:c r="G7" s="69"/>
      <x:c r="H7" s="69"/>
      <x:c r="I7" s="69"/>
      <x:c r="J7" s="69"/>
      <x:c r="K7" s="69"/>
      <x:c r="L7" s="69"/>
      <x:c r="M7" s="69"/>
      <x:c r="N7" s="69"/>
      <x:c r="O7" s="69"/>
      <x:c r="P7" s="69"/>
      <x:c r="Q7" s="69"/>
      <x:c r="R7" s="69"/>
      <x:c r="S7" s="69"/>
      <x:c r="T7" s="69"/>
      <x:c r="U7" s="69"/>
      <x:c r="V7" s="69"/>
      <x:c r="W7" s="69"/>
      <x:c r="X7" s="69"/>
      <x:c r="Y7" s="69"/>
      <x:c r="Z7" s="69"/>
      <x:c r="AA7" s="69"/>
      <x:c r="AB7" s="69"/>
      <x:c r="AC7" s="69"/>
    </x:row>
    <x:row r="8">
      <x:c r="A8" s="69" t="str">
        <x:v>clientes</x:v>
      </x:c>
      <x:c r="B8" s="69" t="str">
        <x:v>icp</x:v>
      </x:c>
      <x:c r="C8" s="69" t="str">
        <x:v>enum</x:v>
      </x:c>
      <x:c r="D8" s="69" t="str">
        <x:v>fórmula</x:v>
      </x:c>
      <x:c r="E8" s="69" t="str">
        <x:v>ICP A, B ou C</x:v>
      </x:c>
      <x:c r="F8" s="69" t="str">
        <x:v>Sim</x:v>
      </x:c>
      <x:c r="G8" s="69"/>
      <x:c r="H8" s="69"/>
      <x:c r="I8" s="69"/>
      <x:c r="J8" s="69"/>
      <x:c r="K8" s="69"/>
      <x:c r="L8" s="69"/>
      <x:c r="M8" s="69"/>
      <x:c r="N8" s="69"/>
      <x:c r="O8" s="69"/>
      <x:c r="P8" s="69"/>
      <x:c r="Q8" s="69"/>
      <x:c r="R8" s="69"/>
      <x:c r="S8" s="69"/>
      <x:c r="T8" s="69"/>
      <x:c r="U8" s="69"/>
      <x:c r="V8" s="69"/>
      <x:c r="W8" s="69"/>
      <x:c r="X8" s="69"/>
      <x:c r="Y8" s="69"/>
      <x:c r="Z8" s="69"/>
      <x:c r="AA8" s="69"/>
      <x:c r="AB8" s="69"/>
      <x:c r="AC8" s="69"/>
    </x:row>
    <x:row r="9">
      <x:c r="A9" s="69" t="str">
        <x:v>unidades</x:v>
      </x:c>
      <x:c r="B9" s="69" t="str">
        <x:v>unidade_id</x:v>
      </x:c>
      <x:c r="C9" s="69" t="str">
        <x:v>uuid</x:v>
      </x:c>
      <x:c r="D9" s="69" t="str">
        <x:v>sistema</x:v>
      </x:c>
      <x:c r="E9" s="69" t="str">
        <x:v>Pode ser igual ao cliente no MVP</x:v>
      </x:c>
      <x:c r="F9" s="69" t="str">
        <x:v>Sim</x:v>
      </x:c>
      <x:c r="G9" s="69"/>
      <x:c r="H9" s="69"/>
      <x:c r="I9" s="69"/>
      <x:c r="J9" s="69"/>
      <x:c r="K9" s="69"/>
      <x:c r="L9" s="69"/>
      <x:c r="M9" s="69"/>
      <x:c r="N9" s="69"/>
      <x:c r="O9" s="69"/>
      <x:c r="P9" s="69"/>
      <x:c r="Q9" s="69"/>
      <x:c r="R9" s="69"/>
      <x:c r="S9" s="69"/>
      <x:c r="T9" s="69"/>
      <x:c r="U9" s="69"/>
      <x:c r="V9" s="69"/>
      <x:c r="W9" s="69"/>
      <x:c r="X9" s="69"/>
      <x:c r="Y9" s="69"/>
      <x:c r="Z9" s="69"/>
      <x:c r="AA9" s="69"/>
      <x:c r="AB9" s="69"/>
      <x:c r="AC9" s="69"/>
    </x:row>
    <x:row r="10">
      <x:c r="A10" s="69" t="str">
        <x:v>unidades</x:v>
      </x:c>
      <x:c r="B10" s="69" t="str">
        <x:v>area_ha</x:v>
      </x:c>
      <x:c r="C10" s="69" t="str">
        <x:v>decimal</x:v>
      </x:c>
      <x:c r="D10" s="69" t="str">
        <x:v>base</x:v>
      </x:c>
      <x:c r="E10" s="69" t="str">
        <x:v>Área agrícola total</x:v>
      </x:c>
      <x:c r="F10" s="69" t="str">
        <x:v>Sim</x:v>
      </x:c>
      <x:c r="G10" s="69"/>
      <x:c r="H10" s="69"/>
      <x:c r="I10" s="69"/>
      <x:c r="J10" s="69"/>
      <x:c r="K10" s="69"/>
      <x:c r="L10" s="69"/>
      <x:c r="M10" s="69"/>
      <x:c r="N10" s="69"/>
      <x:c r="O10" s="69"/>
      <x:c r="P10" s="69"/>
      <x:c r="Q10" s="69"/>
      <x:c r="R10" s="69"/>
      <x:c r="S10" s="69"/>
      <x:c r="T10" s="69"/>
      <x:c r="U10" s="69"/>
      <x:c r="V10" s="69"/>
      <x:c r="W10" s="69"/>
      <x:c r="X10" s="69"/>
      <x:c r="Y10" s="69"/>
      <x:c r="Z10" s="69"/>
      <x:c r="AA10" s="69"/>
      <x:c r="AB10" s="69"/>
      <x:c r="AC10" s="69"/>
    </x:row>
    <x:row r="11">
      <x:c r="A11" s="69" t="str">
        <x:v>unidades</x:v>
      </x:c>
      <x:c r="B11" s="69" t="str">
        <x:v>cana_planta_ha</x:v>
      </x:c>
      <x:c r="C11" s="69" t="str">
        <x:v>decimal</x:v>
      </x:c>
      <x:c r="D11" s="69" t="str">
        <x:v>base</x:v>
      </x:c>
      <x:c r="E11" s="69" t="str">
        <x:v>Área de cana-planta</x:v>
      </x:c>
      <x:c r="F11" s="69" t="str">
        <x:v>Sim</x:v>
      </x:c>
      <x:c r="G11" s="69"/>
      <x:c r="H11" s="69"/>
      <x:c r="I11" s="69"/>
      <x:c r="J11" s="69"/>
      <x:c r="K11" s="69"/>
      <x:c r="L11" s="69"/>
      <x:c r="M11" s="69"/>
      <x:c r="N11" s="69"/>
      <x:c r="O11" s="69"/>
      <x:c r="P11" s="69"/>
      <x:c r="Q11" s="69"/>
      <x:c r="R11" s="69"/>
      <x:c r="S11" s="69"/>
      <x:c r="T11" s="69"/>
      <x:c r="U11" s="69"/>
      <x:c r="V11" s="69"/>
      <x:c r="W11" s="69"/>
      <x:c r="X11" s="69"/>
      <x:c r="Y11" s="69"/>
      <x:c r="Z11" s="69"/>
      <x:c r="AA11" s="69"/>
      <x:c r="AB11" s="69"/>
      <x:c r="AC11" s="69"/>
    </x:row>
    <x:row r="12">
      <x:c r="A12" s="69" t="str">
        <x:v>unidades</x:v>
      </x:c>
      <x:c r="B12" s="69" t="str">
        <x:v>cana_soca_ha</x:v>
      </x:c>
      <x:c r="C12" s="69" t="str">
        <x:v>decimal</x:v>
      </x:c>
      <x:c r="D12" s="69" t="str">
        <x:v>base</x:v>
      </x:c>
      <x:c r="E12" s="69" t="str">
        <x:v>Área de soqueira</x:v>
      </x:c>
      <x:c r="F12" s="69" t="str">
        <x:v>Sim</x:v>
      </x:c>
      <x:c r="G12" s="69"/>
      <x:c r="H12" s="69"/>
      <x:c r="I12" s="69"/>
      <x:c r="J12" s="69"/>
      <x:c r="K12" s="69"/>
      <x:c r="L12" s="69"/>
      <x:c r="M12" s="69"/>
      <x:c r="N12" s="69"/>
      <x:c r="O12" s="69"/>
      <x:c r="P12" s="69"/>
      <x:c r="Q12" s="69"/>
      <x:c r="R12" s="69"/>
      <x:c r="S12" s="69"/>
      <x:c r="T12" s="69"/>
      <x:c r="U12" s="69"/>
      <x:c r="V12" s="69"/>
      <x:c r="W12" s="69"/>
      <x:c r="X12" s="69"/>
      <x:c r="Y12" s="69"/>
      <x:c r="Z12" s="69"/>
      <x:c r="AA12" s="69"/>
      <x:c r="AB12" s="69"/>
      <x:c r="AC12" s="69"/>
    </x:row>
    <x:row r="13">
      <x:c r="A13" s="69" t="str">
        <x:v>kaizen</x:v>
      </x:c>
      <x:c r="B13" s="69" t="str">
        <x:v>stage</x:v>
      </x:c>
      <x:c r="C13" s="69" t="str">
        <x:v>enum</x:v>
      </x:c>
      <x:c r="D13" s="69" t="str">
        <x:v>padrão</x:v>
      </x:c>
      <x:c r="E13" s="69" t="str">
        <x:v>Todos iniciam em K0</x:v>
      </x:c>
      <x:c r="F13" s="69" t="str">
        <x:v>Sim</x:v>
      </x:c>
      <x:c r="G13" s="69"/>
      <x:c r="H13" s="69"/>
      <x:c r="I13" s="69"/>
      <x:c r="J13" s="69"/>
      <x:c r="K13" s="69"/>
      <x:c r="L13" s="69"/>
      <x:c r="M13" s="69"/>
      <x:c r="N13" s="69"/>
      <x:c r="O13" s="69"/>
      <x:c r="P13" s="69"/>
      <x:c r="Q13" s="69"/>
      <x:c r="R13" s="69"/>
      <x:c r="S13" s="69"/>
      <x:c r="T13" s="69"/>
      <x:c r="U13" s="69"/>
      <x:c r="V13" s="69"/>
      <x:c r="W13" s="69"/>
      <x:c r="X13" s="69"/>
      <x:c r="Y13" s="69"/>
      <x:c r="Z13" s="69"/>
      <x:c r="AA13" s="69"/>
      <x:c r="AB13" s="69"/>
      <x:c r="AC13" s="69"/>
    </x:row>
    <x:row r="14">
      <x:c r="A14" s="69" t="str">
        <x:v>kaizen</x:v>
      </x:c>
      <x:c r="B14" s="69" t="str">
        <x:v>score_kaizen</x:v>
      </x:c>
      <x:c r="C14" s="69" t="str">
        <x:v>integer</x:v>
      </x:c>
      <x:c r="D14" s="69" t="str">
        <x:v>fórmula</x:v>
      </x:c>
      <x:c r="E14" s="69" t="str">
        <x:v>0, 100, 250, 500, 750, 1000</x:v>
      </x:c>
      <x:c r="F14" s="69" t="str">
        <x:v>Sim</x:v>
      </x:c>
      <x:c r="G14" s="69"/>
      <x:c r="H14" s="69"/>
      <x:c r="I14" s="69"/>
      <x:c r="J14" s="69"/>
      <x:c r="K14" s="69"/>
      <x:c r="L14" s="69"/>
      <x:c r="M14" s="69"/>
      <x:c r="N14" s="69"/>
      <x:c r="O14" s="69"/>
      <x:c r="P14" s="69"/>
      <x:c r="Q14" s="69"/>
      <x:c r="R14" s="69"/>
      <x:c r="S14" s="69"/>
      <x:c r="T14" s="69"/>
      <x:c r="U14" s="69"/>
      <x:c r="V14" s="69"/>
      <x:c r="W14" s="69"/>
      <x:c r="X14" s="69"/>
      <x:c r="Y14" s="69"/>
      <x:c r="Z14" s="69"/>
      <x:c r="AA14" s="69"/>
      <x:c r="AB14" s="69"/>
      <x:c r="AC14" s="69"/>
    </x:row>
    <x:row r="15">
      <x:c r="A15" s="69" t="str">
        <x:v>creditos</x:v>
      </x:c>
      <x:c r="B15" s="69" t="str">
        <x:v>creditos_potenciais</x:v>
      </x:c>
      <x:c r="C15" s="69" t="str">
        <x:v>decimal</x:v>
      </x:c>
      <x:c r="D15" s="69" t="str">
        <x:v>fórmula</x:v>
      </x:c>
      <x:c r="E15" s="69" t="str">
        <x:v>Potencial convertido x regra de crédito x multiplicador</x:v>
      </x:c>
      <x:c r="F15" s="69" t="str">
        <x:v>Sim</x:v>
      </x:c>
      <x:c r="G15" s="69"/>
      <x:c r="H15" s="69"/>
      <x:c r="I15" s="69"/>
      <x:c r="J15" s="69"/>
      <x:c r="K15" s="69"/>
      <x:c r="L15" s="69"/>
      <x:c r="M15" s="69"/>
      <x:c r="N15" s="69"/>
      <x:c r="O15" s="69"/>
      <x:c r="P15" s="69"/>
      <x:c r="Q15" s="69"/>
      <x:c r="R15" s="69"/>
      <x:c r="S15" s="69"/>
      <x:c r="T15" s="69"/>
      <x:c r="U15" s="69"/>
      <x:c r="V15" s="69"/>
      <x:c r="W15" s="69"/>
      <x:c r="X15" s="69"/>
      <x:c r="Y15" s="69"/>
      <x:c r="Z15" s="69"/>
      <x:c r="AA15" s="69"/>
      <x:c r="AB15" s="69"/>
      <x:c r="AC15" s="69"/>
    </x:row>
    <x:row r="16">
      <x:c r="A16" s="69" t="str">
        <x:v>projetos</x:v>
      </x:c>
      <x:c r="B16" s="69" t="str">
        <x:v>status</x:v>
      </x:c>
      <x:c r="C16" s="69" t="str">
        <x:v>enum</x:v>
      </x:c>
      <x:c r="D16" s="69" t="str">
        <x:v>usuário</x:v>
      </x:c>
      <x:c r="E16" s="69" t="str">
        <x:v>Planejado, em execução, validado, encerrado</x:v>
      </x:c>
      <x:c r="F16" s="69" t="str">
        <x:v>Não</x:v>
      </x:c>
      <x:c r="G16" s="69"/>
      <x:c r="H16" s="69"/>
      <x:c r="I16" s="69"/>
      <x:c r="J16" s="69"/>
      <x:c r="K16" s="69"/>
      <x:c r="L16" s="69"/>
      <x:c r="M16" s="69"/>
      <x:c r="N16" s="69"/>
      <x:c r="O16" s="69"/>
      <x:c r="P16" s="69"/>
      <x:c r="Q16" s="69"/>
      <x:c r="R16" s="69"/>
      <x:c r="S16" s="69"/>
      <x:c r="T16" s="69"/>
      <x:c r="U16" s="69"/>
      <x:c r="V16" s="69"/>
      <x:c r="W16" s="69"/>
      <x:c r="X16" s="69"/>
      <x:c r="Y16" s="69"/>
      <x:c r="Z16" s="69"/>
      <x:c r="AA16" s="69"/>
      <x:c r="AB16" s="69"/>
      <x:c r="AC16" s="69"/>
    </x:row>
    <x:row r="17">
      <x:c r="A17" s="69" t="str">
        <x:v>diagnosticos</x:v>
      </x:c>
      <x:c r="B17" s="69" t="str">
        <x:v>tipo</x:v>
      </x:c>
      <x:c r="C17" s="69" t="str">
        <x:v>enum</x:v>
      </x:c>
      <x:c r="D17" s="69" t="str">
        <x:v>usuário</x:v>
      </x:c>
      <x:c r="E17" s="69" t="str">
        <x:v>Solo, pragas, fisiologia, aplicação, operacional</x:v>
      </x:c>
      <x:c r="F17" s="69" t="str">
        <x:v>Não</x:v>
      </x:c>
      <x:c r="G17" s="69"/>
      <x:c r="H17" s="69"/>
      <x:c r="I17" s="69"/>
      <x:c r="J17" s="69"/>
      <x:c r="K17" s="69"/>
      <x:c r="L17" s="69"/>
      <x:c r="M17" s="69"/>
      <x:c r="N17" s="69"/>
      <x:c r="O17" s="69"/>
      <x:c r="P17" s="69"/>
      <x:c r="Q17" s="69"/>
      <x:c r="R17" s="69"/>
      <x:c r="S17" s="69"/>
      <x:c r="T17" s="69"/>
      <x:c r="U17" s="69"/>
      <x:c r="V17" s="69"/>
      <x:c r="W17" s="69"/>
      <x:c r="X17" s="69"/>
      <x:c r="Y17" s="69"/>
      <x:c r="Z17" s="69"/>
      <x:c r="AA17" s="69"/>
      <x:c r="AB17" s="69"/>
      <x:c r="AC17" s="69"/>
    </x:row>
    <x:row r="18">
      <x:c r="A18" s="69" t="str">
        <x:v>indicadores</x:v>
      </x:c>
      <x:c r="B18" s="69" t="str">
        <x:v>vgo</x:v>
      </x:c>
      <x:c r="C18" s="69" t="str">
        <x:v>currency</x:v>
      </x:c>
      <x:c r="D18" s="69" t="str">
        <x:v>projetos</x:v>
      </x:c>
      <x:c r="E18" s="69" t="str">
        <x:v>Valor gerado pelo ecossistema</x:v>
      </x:c>
      <x:c r="F18" s="69" t="str">
        <x:v>Não</x:v>
      </x:c>
      <x:c r="G18" s="69"/>
      <x:c r="H18" s="69"/>
      <x:c r="I18" s="69"/>
      <x:c r="J18" s="69"/>
      <x:c r="K18" s="69"/>
      <x:c r="L18" s="69"/>
      <x:c r="M18" s="69"/>
      <x:c r="N18" s="69"/>
      <x:c r="O18" s="69"/>
      <x:c r="P18" s="69"/>
      <x:c r="Q18" s="69"/>
      <x:c r="R18" s="69"/>
      <x:c r="S18" s="69"/>
      <x:c r="T18" s="69"/>
      <x:c r="U18" s="69"/>
      <x:c r="V18" s="69"/>
      <x:c r="W18" s="69"/>
      <x:c r="X18" s="69"/>
      <x:c r="Y18" s="69"/>
      <x:c r="Z18" s="69"/>
      <x:c r="AA18" s="69"/>
      <x:c r="AB18" s="69"/>
      <x:c r="AC18" s="69"/>
    </x:row>
    <x:row r="19">
      <x:c r="A19" s="69"/>
      <x:c r="B19" s="69"/>
      <x:c r="C19" s="69"/>
      <x:c r="D19" s="69"/>
      <x:c r="E19" s="69"/>
      <x:c r="F19" s="69"/>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t="str">
        <x:v>regra</x:v>
      </x:c>
      <x:c r="B22" s="69" t="str">
        <x:v>categoria_orizon</x:v>
      </x:c>
      <x:c r="C22" s="69" t="str">
        <x:v>formula</x:v>
      </x:c>
      <x:c r="D22" s="69" t="str">
        <x:v>Clientes_Orizon_V2</x:v>
      </x:c>
      <x:c r="E22" s="69" t="str">
        <x:v>Categoria calculada por OPI com override estratégico para clientes âncora e grupos de alta influência/escala.</x:v>
      </x:c>
      <x:c r="F22" s="69" t="str">
        <x:v>Sim</x:v>
      </x:c>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F1"/>
  </x:mergeCells>
  <x:pageMargins left="0.7" right="0.7" top="0.75" bottom="0.75" header="0.3" footer="0.3"/>
  <x:tableParts count="1">
    <x:tablePart xmlns:r="http://schemas.openxmlformats.org/officeDocument/2006/relationships" r:id="R7a68bb4cf3034905"/>
  </x:tableParts>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54" hidden="0" customWidth="1"/>
    <x:col min="4" max="4" width="54" hidden="0" customWidth="1"/>
  </x:cols>
  <x:sheetData>
    <x:row r="1">
      <x:c r="A1" s="68" t="str">
        <x:v>Como usar a versão 2.0 do Orizon</x:v>
      </x:c>
      <x:c r="B1" s="69"/>
      <x:c r="C1" s="69"/>
      <x:c r="D1" s="69"/>
      <x:c r="E1" s="69"/>
      <x:c r="F1" s="69"/>
      <x:c r="G1" s="69"/>
      <x:c r="H1" s="69"/>
      <x:c r="I1" s="69"/>
      <x:c r="J1" s="69"/>
      <x:c r="K1" s="69"/>
      <x:c r="L1" s="69"/>
      <x:c r="M1" s="69"/>
      <x:c r="N1" s="69"/>
      <x:c r="O1" s="69"/>
      <x:c r="P1" s="69"/>
      <x:c r="Q1" s="69"/>
      <x:c r="R1" s="69"/>
      <x:c r="S1" s="69"/>
      <x:c r="T1" s="69"/>
      <x:c r="U1" s="69"/>
      <x:c r="V1" s="69"/>
      <x:c r="W1" s="69"/>
      <x:c r="X1" s="69"/>
      <x:c r="Y1" s="69"/>
      <x:c r="Z1" s="69"/>
      <x:c r="AA1" s="69"/>
      <x:c r="AB1" s="69"/>
      <x:c r="AC1" s="69"/>
    </x:row>
    <x:row r="2">
      <x:c r="A2" s="69"/>
      <x:c r="B2" s="69"/>
      <x:c r="C2" s="69"/>
      <x:c r="D2" s="69"/>
      <x:c r="E2" s="69"/>
      <x:c r="F2" s="69"/>
      <x:c r="G2" s="69"/>
      <x:c r="H2" s="69"/>
      <x:c r="I2" s="69"/>
      <x:c r="J2" s="69"/>
      <x:c r="K2" s="69"/>
      <x:c r="L2" s="69"/>
      <x:c r="M2" s="69"/>
      <x:c r="N2" s="69"/>
      <x:c r="O2" s="69"/>
      <x:c r="P2" s="69"/>
      <x:c r="Q2" s="69"/>
      <x:c r="R2" s="69"/>
      <x:c r="S2" s="69"/>
      <x:c r="T2" s="69"/>
      <x:c r="U2" s="69"/>
      <x:c r="V2" s="69"/>
      <x:c r="W2" s="69"/>
      <x:c r="X2" s="69"/>
      <x:c r="Y2" s="69"/>
      <x:c r="Z2" s="69"/>
      <x:c r="AA2" s="69"/>
      <x:c r="AB2" s="69"/>
      <x:c r="AC2" s="69"/>
    </x:row>
    <x:row r="3">
      <x:c r="A3" s="77" t="str">
        <x:v>Passo</x:v>
      </x:c>
      <x:c r="B3" s="77" t="str">
        <x:v>Aba</x:v>
      </x:c>
      <x:c r="C3" s="77" t="str">
        <x:v>O que fazer</x:v>
      </x:c>
      <x:c r="D3" s="77" t="str">
        <x:v>Resultado esperado</x:v>
      </x:c>
      <x:c r="E3" s="69"/>
      <x:c r="F3" s="69"/>
      <x:c r="G3" s="69"/>
      <x:c r="H3" s="69"/>
      <x:c r="I3" s="69"/>
      <x:c r="J3" s="69"/>
      <x:c r="K3" s="69"/>
      <x:c r="L3" s="69"/>
      <x:c r="M3" s="69"/>
      <x:c r="N3" s="69"/>
      <x:c r="O3" s="69"/>
      <x:c r="P3" s="69"/>
      <x:c r="Q3" s="69"/>
      <x:c r="R3" s="69"/>
      <x:c r="S3" s="69"/>
      <x:c r="T3" s="69"/>
      <x:c r="U3" s="69"/>
      <x:c r="V3" s="69"/>
      <x:c r="W3" s="69"/>
      <x:c r="X3" s="69"/>
      <x:c r="Y3" s="69"/>
      <x:c r="Z3" s="69"/>
      <x:c r="AA3" s="69"/>
      <x:c r="AB3" s="69"/>
      <x:c r="AC3" s="69"/>
    </x:row>
    <x:row r="4">
      <x:c r="A4" s="69" t="str">
        <x:v>1</x:v>
      </x:c>
      <x:c r="B4" s="69" t="str">
        <x:v>Clientes_Orizon_V2</x:v>
      </x:c>
      <x:c r="C4" s="69" t="str">
        <x:v>Atualizar área, situação, ação, score de validação/abertura/portfólio/influência quando houver novas evidências.</x:v>
      </x:c>
      <x:c r="D4" s="69" t="str">
        <x:v>OPI, categoria, créditos e potencial recalculados.</x:v>
      </x:c>
      <x:c r="E4" s="69"/>
      <x:c r="F4" s="69"/>
      <x:c r="G4" s="69"/>
      <x:c r="H4" s="69"/>
      <x:c r="I4" s="69"/>
      <x:c r="J4" s="69"/>
      <x:c r="K4" s="69"/>
      <x:c r="L4" s="69"/>
      <x:c r="M4" s="69"/>
      <x:c r="N4" s="69"/>
      <x:c r="O4" s="69"/>
      <x:c r="P4" s="69"/>
      <x:c r="Q4" s="69"/>
      <x:c r="R4" s="69"/>
      <x:c r="S4" s="69"/>
      <x:c r="T4" s="69"/>
      <x:c r="U4" s="69"/>
      <x:c r="V4" s="69"/>
      <x:c r="W4" s="69"/>
      <x:c r="X4" s="69"/>
      <x:c r="Y4" s="69"/>
      <x:c r="Z4" s="69"/>
      <x:c r="AA4" s="69"/>
      <x:c r="AB4" s="69"/>
      <x:c r="AC4" s="69"/>
    </x:row>
    <x:row r="5">
      <x:c r="A5" s="69" t="str">
        <x:v>2</x:v>
      </x:c>
      <x:c r="B5" s="69" t="str">
        <x:v>Parametros_OPI</x:v>
      </x:c>
      <x:c r="C5" s="69" t="str">
        <x:v>Ajustar tickets, pesos, multiplicadores e percentuais elegíveis conforme estratégia comercial.</x:v>
      </x:c>
      <x:c r="D5" s="69" t="str">
        <x:v>Modelo financeiro alinhado à realidade do negócio.</x:v>
      </x:c>
      <x:c r="E5" s="69"/>
      <x:c r="F5" s="69"/>
      <x:c r="G5" s="69"/>
      <x:c r="H5" s="69"/>
      <x:c r="I5" s="69"/>
      <x:c r="J5" s="69"/>
      <x:c r="K5" s="69"/>
      <x:c r="L5" s="69"/>
      <x:c r="M5" s="69"/>
      <x:c r="N5" s="69"/>
      <x:c r="O5" s="69"/>
      <x:c r="P5" s="69"/>
      <x:c r="Q5" s="69"/>
      <x:c r="R5" s="69"/>
      <x:c r="S5" s="69"/>
      <x:c r="T5" s="69"/>
      <x:c r="U5" s="69"/>
      <x:c r="V5" s="69"/>
      <x:c r="W5" s="69"/>
      <x:c r="X5" s="69"/>
      <x:c r="Y5" s="69"/>
      <x:c r="Z5" s="69"/>
      <x:c r="AA5" s="69"/>
      <x:c r="AB5" s="69"/>
      <x:c r="AC5" s="69"/>
    </x:row>
    <x:row r="6">
      <x:c r="A6" s="69" t="str">
        <x:v>3</x:v>
      </x:c>
      <x:c r="B6" s="69" t="str">
        <x:v>Kaizen_Jornada</x:v>
      </x:c>
      <x:c r="C6" s="69" t="str">
        <x:v>Registrar avanço de K0 para K1–K5 somente quando houver evidência técnica.</x:v>
      </x:c>
      <x:c r="D6" s="69" t="str">
        <x:v>Maturidade operacional independente da categoria comercial.</x:v>
      </x:c>
      <x:c r="E6" s="69"/>
      <x:c r="F6" s="69"/>
      <x:c r="G6" s="69"/>
      <x:c r="H6" s="69"/>
      <x:c r="I6" s="69"/>
      <x:c r="J6" s="69"/>
      <x:c r="K6" s="69"/>
      <x:c r="L6" s="69"/>
      <x:c r="M6" s="69"/>
      <x:c r="N6" s="69"/>
      <x:c r="O6" s="69"/>
      <x:c r="P6" s="69"/>
      <x:c r="Q6" s="69"/>
      <x:c r="R6" s="69"/>
      <x:c r="S6" s="69"/>
      <x:c r="T6" s="69"/>
      <x:c r="U6" s="69"/>
      <x:c r="V6" s="69"/>
      <x:c r="W6" s="69"/>
      <x:c r="X6" s="69"/>
      <x:c r="Y6" s="69"/>
      <x:c r="Z6" s="69"/>
      <x:c r="AA6" s="69"/>
      <x:c r="AB6" s="69"/>
      <x:c r="AC6" s="69"/>
    </x:row>
    <x:row r="7">
      <x:c r="A7" s="69" t="str">
        <x:v>4</x:v>
      </x:c>
      <x:c r="B7" s="69" t="str">
        <x:v>Dashboard_V2</x:v>
      </x:c>
      <x:c r="C7" s="69" t="str">
        <x:v>Acompanhar a carteira, potencial de ecossistema, créditos e priorização executiva.</x:v>
      </x:c>
      <x:c r="D7" s="69" t="str">
        <x:v>Painel para diretoria, DTM e Codex.</x:v>
      </x:c>
      <x:c r="E7" s="69"/>
      <x:c r="F7" s="69"/>
      <x:c r="G7" s="69"/>
      <x:c r="H7" s="69"/>
      <x:c r="I7" s="69"/>
      <x:c r="J7" s="69"/>
      <x:c r="K7" s="69"/>
      <x:c r="L7" s="69"/>
      <x:c r="M7" s="69"/>
      <x:c r="N7" s="69"/>
      <x:c r="O7" s="69"/>
      <x:c r="P7" s="69"/>
      <x:c r="Q7" s="69"/>
      <x:c r="R7" s="69"/>
      <x:c r="S7" s="69"/>
      <x:c r="T7" s="69"/>
      <x:c r="U7" s="69"/>
      <x:c r="V7" s="69"/>
      <x:c r="W7" s="69"/>
      <x:c r="X7" s="69"/>
      <x:c r="Y7" s="69"/>
      <x:c r="Z7" s="69"/>
      <x:c r="AA7" s="69"/>
      <x:c r="AB7" s="69"/>
      <x:c r="AC7" s="69"/>
    </x:row>
    <x:row r="8">
      <x:c r="A8" s="69" t="str">
        <x:v>5</x:v>
      </x:c>
      <x:c r="B8" s="69" t="str">
        <x:v>SaaS_Modelo_Dados</x:v>
      </x:c>
      <x:c r="C8" s="69" t="str">
        <x:v>Usar como base para construção do banco de dados da aplicação web.</x:v>
      </x:c>
      <x:c r="D8" s="69" t="str">
        <x:v>Backlog técnico inicial para implementação.</x:v>
      </x:c>
      <x:c r="E8" s="69"/>
      <x:c r="F8" s="69"/>
      <x:c r="G8" s="69"/>
      <x:c r="H8" s="69"/>
      <x:c r="I8" s="69"/>
      <x:c r="J8" s="69"/>
      <x:c r="K8" s="69"/>
      <x:c r="L8" s="69"/>
      <x:c r="M8" s="69"/>
      <x:c r="N8" s="69"/>
      <x:c r="O8" s="69"/>
      <x:c r="P8" s="69"/>
      <x:c r="Q8" s="69"/>
      <x:c r="R8" s="69"/>
      <x:c r="S8" s="69"/>
      <x:c r="T8" s="69"/>
      <x:c r="U8" s="69"/>
      <x:c r="V8" s="69"/>
      <x:c r="W8" s="69"/>
      <x:c r="X8" s="69"/>
      <x:c r="Y8" s="69"/>
      <x:c r="Z8" s="69"/>
      <x:c r="AA8" s="69"/>
      <x:c r="AB8" s="69"/>
      <x:c r="AC8" s="69"/>
    </x:row>
    <x:row r="9">
      <x:c r="A9" s="69"/>
      <x:c r="B9" s="69"/>
      <x:c r="C9" s="69"/>
      <x:c r="D9" s="69"/>
      <x:c r="E9" s="69"/>
      <x:c r="F9" s="69"/>
      <x:c r="G9" s="69"/>
      <x:c r="H9" s="69"/>
      <x:c r="I9" s="69"/>
      <x:c r="J9" s="69"/>
      <x:c r="K9" s="69"/>
      <x:c r="L9" s="69"/>
      <x:c r="M9" s="69"/>
      <x:c r="N9" s="69"/>
      <x:c r="O9" s="69"/>
      <x:c r="P9" s="69"/>
      <x:c r="Q9" s="69"/>
      <x:c r="R9" s="69"/>
      <x:c r="S9" s="69"/>
      <x:c r="T9" s="69"/>
      <x:c r="U9" s="69"/>
      <x:c r="V9" s="69"/>
      <x:c r="W9" s="69"/>
      <x:c r="X9" s="69"/>
      <x:c r="Y9" s="69"/>
      <x:c r="Z9" s="69"/>
      <x:c r="AA9" s="69"/>
      <x:c r="AB9" s="69"/>
      <x:c r="AC9" s="69"/>
    </x:row>
    <x:row r="10">
      <x:c r="A10" s="69"/>
      <x:c r="B10" s="69"/>
      <x:c r="C10" s="69"/>
      <x:c r="D10" s="69"/>
      <x:c r="E10" s="69"/>
      <x:c r="F10" s="69"/>
      <x:c r="G10" s="69"/>
      <x:c r="H10" s="69"/>
      <x:c r="I10" s="69"/>
      <x:c r="J10" s="69"/>
      <x:c r="K10" s="69"/>
      <x:c r="L10" s="69"/>
      <x:c r="M10" s="69"/>
      <x:c r="N10" s="69"/>
      <x:c r="O10" s="69"/>
      <x:c r="P10" s="69"/>
      <x:c r="Q10" s="69"/>
      <x:c r="R10" s="69"/>
      <x:c r="S10" s="69"/>
      <x:c r="T10" s="69"/>
      <x:c r="U10" s="69"/>
      <x:c r="V10" s="69"/>
      <x:c r="W10" s="69"/>
      <x:c r="X10" s="69"/>
      <x:c r="Y10" s="69"/>
      <x:c r="Z10" s="69"/>
      <x:c r="AA10" s="69"/>
      <x:c r="AB10" s="69"/>
      <x:c r="AC10" s="69"/>
    </x:row>
    <x:row r="11">
      <x:c r="A11" s="69"/>
      <x:c r="B11" s="69"/>
      <x:c r="C11" s="69"/>
      <x:c r="D11" s="69"/>
      <x:c r="E11" s="69"/>
      <x:c r="F11" s="69"/>
      <x:c r="G11" s="69"/>
      <x:c r="H11" s="69"/>
      <x:c r="I11" s="69"/>
      <x:c r="J11" s="69"/>
      <x:c r="K11" s="69"/>
      <x:c r="L11" s="69"/>
      <x:c r="M11" s="69"/>
      <x:c r="N11" s="69"/>
      <x:c r="O11" s="69"/>
      <x:c r="P11" s="69"/>
      <x:c r="Q11" s="69"/>
      <x:c r="R11" s="69"/>
      <x:c r="S11" s="69"/>
      <x:c r="T11" s="69"/>
      <x:c r="U11" s="69"/>
      <x:c r="V11" s="69"/>
      <x:c r="W11" s="69"/>
      <x:c r="X11" s="69"/>
      <x:c r="Y11" s="69"/>
      <x:c r="Z11" s="69"/>
      <x:c r="AA11" s="69"/>
      <x:c r="AB11" s="69"/>
      <x:c r="AC11" s="69"/>
    </x:row>
    <x:row r="12">
      <x:c r="A12" s="69"/>
      <x:c r="B12" s="69"/>
      <x:c r="C12" s="69"/>
      <x:c r="D12" s="69"/>
      <x:c r="E12" s="69"/>
      <x:c r="F12" s="69"/>
      <x:c r="G12" s="69"/>
      <x:c r="H12" s="69"/>
      <x:c r="I12" s="69"/>
      <x:c r="J12" s="69"/>
      <x:c r="K12" s="69"/>
      <x:c r="L12" s="69"/>
      <x:c r="M12" s="69"/>
      <x:c r="N12" s="69"/>
      <x:c r="O12" s="69"/>
      <x:c r="P12" s="69"/>
      <x:c r="Q12" s="69"/>
      <x:c r="R12" s="69"/>
      <x:c r="S12" s="69"/>
      <x:c r="T12" s="69"/>
      <x:c r="U12" s="69"/>
      <x:c r="V12" s="69"/>
      <x:c r="W12" s="69"/>
      <x:c r="X12" s="69"/>
      <x:c r="Y12" s="69"/>
      <x:c r="Z12" s="69"/>
      <x:c r="AA12" s="69"/>
      <x:c r="AB12" s="69"/>
      <x:c r="AC12" s="69"/>
    </x:row>
    <x:row r="13">
      <x:c r="A13" s="69"/>
      <x:c r="B13" s="69"/>
      <x:c r="C13" s="69"/>
      <x:c r="D13" s="69"/>
      <x:c r="E13" s="69"/>
      <x:c r="F13" s="69"/>
      <x:c r="G13" s="69"/>
      <x:c r="H13" s="69"/>
      <x:c r="I13" s="69"/>
      <x:c r="J13" s="69"/>
      <x:c r="K13" s="69"/>
      <x:c r="L13" s="69"/>
      <x:c r="M13" s="69"/>
      <x:c r="N13" s="69"/>
      <x:c r="O13" s="69"/>
      <x:c r="P13" s="69"/>
      <x:c r="Q13" s="69"/>
      <x:c r="R13" s="69"/>
      <x:c r="S13" s="69"/>
      <x:c r="T13" s="69"/>
      <x:c r="U13" s="69"/>
      <x:c r="V13" s="69"/>
      <x:c r="W13" s="69"/>
      <x:c r="X13" s="69"/>
      <x:c r="Y13" s="69"/>
      <x:c r="Z13" s="69"/>
      <x:c r="AA13" s="69"/>
      <x:c r="AB13" s="69"/>
      <x:c r="AC13" s="69"/>
    </x:row>
    <x:row r="14">
      <x:c r="A14" s="69"/>
      <x:c r="B14" s="69"/>
      <x:c r="C14" s="69"/>
      <x:c r="D14" s="69"/>
      <x:c r="E14" s="69"/>
      <x:c r="F14" s="69"/>
      <x:c r="G14" s="69"/>
      <x:c r="H14" s="69"/>
      <x:c r="I14" s="69"/>
      <x:c r="J14" s="69"/>
      <x:c r="K14" s="69"/>
      <x:c r="L14" s="69"/>
      <x:c r="M14" s="69"/>
      <x:c r="N14" s="69"/>
      <x:c r="O14" s="69"/>
      <x:c r="P14" s="69"/>
      <x:c r="Q14" s="69"/>
      <x:c r="R14" s="69"/>
      <x:c r="S14" s="69"/>
      <x:c r="T14" s="69"/>
      <x:c r="U14" s="69"/>
      <x:c r="V14" s="69"/>
      <x:c r="W14" s="69"/>
      <x:c r="X14" s="69"/>
      <x:c r="Y14" s="69"/>
      <x:c r="Z14" s="69"/>
      <x:c r="AA14" s="69"/>
      <x:c r="AB14" s="69"/>
      <x:c r="AC14" s="69"/>
    </x:row>
    <x:row r="15">
      <x:c r="A15" s="69"/>
      <x:c r="B15" s="69"/>
      <x:c r="C15" s="69"/>
      <x:c r="D15" s="69"/>
      <x:c r="E15" s="69"/>
      <x:c r="F15" s="69"/>
      <x:c r="G15" s="69"/>
      <x:c r="H15" s="69"/>
      <x:c r="I15" s="69"/>
      <x:c r="J15" s="69"/>
      <x:c r="K15" s="69"/>
      <x:c r="L15" s="69"/>
      <x:c r="M15" s="69"/>
      <x:c r="N15" s="69"/>
      <x:c r="O15" s="69"/>
      <x:c r="P15" s="69"/>
      <x:c r="Q15" s="69"/>
      <x:c r="R15" s="69"/>
      <x:c r="S15" s="69"/>
      <x:c r="T15" s="69"/>
      <x:c r="U15" s="69"/>
      <x:c r="V15" s="69"/>
      <x:c r="W15" s="69"/>
      <x:c r="X15" s="69"/>
      <x:c r="Y15" s="69"/>
      <x:c r="Z15" s="69"/>
      <x:c r="AA15" s="69"/>
      <x:c r="AB15" s="69"/>
      <x:c r="AC15" s="69"/>
    </x:row>
    <x:row r="16">
      <x:c r="A16" s="69"/>
      <x:c r="B16" s="69"/>
      <x:c r="C16" s="69"/>
      <x:c r="D16" s="69"/>
      <x:c r="E16" s="69"/>
      <x:c r="F16" s="69"/>
      <x:c r="G16" s="69"/>
      <x:c r="H16" s="69"/>
      <x:c r="I16" s="69"/>
      <x:c r="J16" s="69"/>
      <x:c r="K16" s="69"/>
      <x:c r="L16" s="69"/>
      <x:c r="M16" s="69"/>
      <x:c r="N16" s="69"/>
      <x:c r="O16" s="69"/>
      <x:c r="P16" s="69"/>
      <x:c r="Q16" s="69"/>
      <x:c r="R16" s="69"/>
      <x:c r="S16" s="69"/>
      <x:c r="T16" s="69"/>
      <x:c r="U16" s="69"/>
      <x:c r="V16" s="69"/>
      <x:c r="W16" s="69"/>
      <x:c r="X16" s="69"/>
      <x:c r="Y16" s="69"/>
      <x:c r="Z16" s="69"/>
      <x:c r="AA16" s="69"/>
      <x:c r="AB16" s="69"/>
      <x:c r="AC16" s="69"/>
    </x:row>
    <x:row r="17">
      <x:c r="A17" s="69"/>
      <x:c r="B17" s="69"/>
      <x:c r="C17" s="69"/>
      <x:c r="D17" s="69"/>
      <x:c r="E17" s="69"/>
      <x:c r="F17" s="69"/>
      <x:c r="G17" s="69"/>
      <x:c r="H17" s="69"/>
      <x:c r="I17" s="69"/>
      <x:c r="J17" s="69"/>
      <x:c r="K17" s="69"/>
      <x:c r="L17" s="69"/>
      <x:c r="M17" s="69"/>
      <x:c r="N17" s="69"/>
      <x:c r="O17" s="69"/>
      <x:c r="P17" s="69"/>
      <x:c r="Q17" s="69"/>
      <x:c r="R17" s="69"/>
      <x:c r="S17" s="69"/>
      <x:c r="T17" s="69"/>
      <x:c r="U17" s="69"/>
      <x:c r="V17" s="69"/>
      <x:c r="W17" s="69"/>
      <x:c r="X17" s="69"/>
      <x:c r="Y17" s="69"/>
      <x:c r="Z17" s="69"/>
      <x:c r="AA17" s="69"/>
      <x:c r="AB17" s="69"/>
      <x:c r="AC17" s="69"/>
    </x:row>
    <x:row r="18">
      <x:c r="A18" s="69"/>
      <x:c r="B18" s="69"/>
      <x:c r="C18" s="69"/>
      <x:c r="D18" s="69"/>
      <x:c r="E18" s="69"/>
      <x:c r="F18" s="69"/>
      <x:c r="G18" s="69"/>
      <x:c r="H18" s="69"/>
      <x:c r="I18" s="69"/>
      <x:c r="J18" s="69"/>
      <x:c r="K18" s="69"/>
      <x:c r="L18" s="69"/>
      <x:c r="M18" s="69"/>
      <x:c r="N18" s="69"/>
      <x:c r="O18" s="69"/>
      <x:c r="P18" s="69"/>
      <x:c r="Q18" s="69"/>
      <x:c r="R18" s="69"/>
      <x:c r="S18" s="69"/>
      <x:c r="T18" s="69"/>
      <x:c r="U18" s="69"/>
      <x:c r="V18" s="69"/>
      <x:c r="W18" s="69"/>
      <x:c r="X18" s="69"/>
      <x:c r="Y18" s="69"/>
      <x:c r="Z18" s="69"/>
      <x:c r="AA18" s="69"/>
      <x:c r="AB18" s="69"/>
      <x:c r="AC18" s="69"/>
    </x:row>
    <x:row r="19">
      <x:c r="A19" s="69"/>
      <x:c r="B19" s="69"/>
      <x:c r="C19" s="69"/>
      <x:c r="D19" s="69"/>
      <x:c r="E19" s="69"/>
      <x:c r="F19" s="69"/>
      <x:c r="G19" s="69"/>
      <x:c r="H19" s="69"/>
      <x:c r="I19" s="69"/>
      <x:c r="J19" s="69"/>
      <x:c r="K19" s="69"/>
      <x:c r="L19" s="69"/>
      <x:c r="M19" s="69"/>
      <x:c r="N19" s="69"/>
      <x:c r="O19" s="69"/>
      <x:c r="P19" s="69"/>
      <x:c r="Q19" s="69"/>
      <x:c r="R19" s="69"/>
      <x:c r="S19" s="69"/>
      <x:c r="T19" s="69"/>
      <x:c r="U19" s="69"/>
      <x:c r="V19" s="69"/>
      <x:c r="W19" s="69"/>
      <x:c r="X19" s="69"/>
      <x:c r="Y19" s="69"/>
      <x:c r="Z19" s="69"/>
      <x:c r="AA19" s="69"/>
      <x:c r="AB19" s="69"/>
      <x:c r="AC19" s="69"/>
    </x:row>
    <x:row r="20">
      <x:c r="A20" s="69"/>
      <x:c r="B20" s="69"/>
      <x:c r="C20" s="69"/>
      <x:c r="D20" s="69"/>
      <x:c r="E20" s="69"/>
      <x:c r="F20" s="69"/>
      <x:c r="G20" s="69"/>
      <x:c r="H20" s="69"/>
      <x:c r="I20" s="69"/>
      <x:c r="J20" s="69"/>
      <x:c r="K20" s="69"/>
      <x:c r="L20" s="69"/>
      <x:c r="M20" s="69"/>
      <x:c r="N20" s="69"/>
      <x:c r="O20" s="69"/>
      <x:c r="P20" s="69"/>
      <x:c r="Q20" s="69"/>
      <x:c r="R20" s="69"/>
      <x:c r="S20" s="69"/>
      <x:c r="T20" s="69"/>
      <x:c r="U20" s="69"/>
      <x:c r="V20" s="69"/>
      <x:c r="W20" s="69"/>
      <x:c r="X20" s="69"/>
      <x:c r="Y20" s="69"/>
      <x:c r="Z20" s="69"/>
      <x:c r="AA20" s="69"/>
      <x:c r="AB20" s="69"/>
      <x:c r="AC20" s="69"/>
    </x:row>
    <x:row r="21">
      <x:c r="A21" s="69"/>
      <x:c r="B21" s="69"/>
      <x:c r="C21" s="69"/>
      <x:c r="D21" s="69"/>
      <x:c r="E21" s="69"/>
      <x:c r="F21" s="69"/>
      <x:c r="G21" s="69"/>
      <x:c r="H21" s="69"/>
      <x:c r="I21" s="69"/>
      <x:c r="J21" s="69"/>
      <x:c r="K21" s="69"/>
      <x:c r="L21" s="69"/>
      <x:c r="M21" s="69"/>
      <x:c r="N21" s="69"/>
      <x:c r="O21" s="69"/>
      <x:c r="P21" s="69"/>
      <x:c r="Q21" s="69"/>
      <x:c r="R21" s="69"/>
      <x:c r="S21" s="69"/>
      <x:c r="T21" s="69"/>
      <x:c r="U21" s="69"/>
      <x:c r="V21" s="69"/>
      <x:c r="W21" s="69"/>
      <x:c r="X21" s="69"/>
      <x:c r="Y21" s="69"/>
      <x:c r="Z21" s="69"/>
      <x:c r="AA21" s="69"/>
      <x:c r="AB21" s="69"/>
      <x:c r="AC21" s="69"/>
    </x:row>
    <x:row r="22">
      <x:c r="A22" s="69"/>
      <x:c r="B22" s="69"/>
      <x:c r="C22" s="69"/>
      <x:c r="D22" s="69"/>
      <x:c r="E22" s="69"/>
      <x:c r="F22" s="69"/>
      <x:c r="G22" s="69"/>
      <x:c r="H22" s="69"/>
      <x:c r="I22" s="69"/>
      <x:c r="J22" s="69"/>
      <x:c r="K22" s="69"/>
      <x:c r="L22" s="69"/>
      <x:c r="M22" s="69"/>
      <x:c r="N22" s="69"/>
      <x:c r="O22" s="69"/>
      <x:c r="P22" s="69"/>
      <x:c r="Q22" s="69"/>
      <x:c r="R22" s="69"/>
      <x:c r="S22" s="69"/>
      <x:c r="T22" s="69"/>
      <x:c r="U22" s="69"/>
      <x:c r="V22" s="69"/>
      <x:c r="W22" s="69"/>
      <x:c r="X22" s="69"/>
      <x:c r="Y22" s="69"/>
      <x:c r="Z22" s="69"/>
      <x:c r="AA22" s="69"/>
      <x:c r="AB22" s="69"/>
      <x:c r="AC22" s="69"/>
    </x:row>
    <x:row r="23">
      <x:c r="A23" s="69"/>
      <x:c r="B23" s="69"/>
      <x:c r="C23" s="69"/>
      <x:c r="D23" s="69"/>
      <x:c r="E23" s="69"/>
      <x:c r="F23" s="69"/>
      <x:c r="G23" s="69"/>
      <x:c r="H23" s="69"/>
      <x:c r="I23" s="69"/>
      <x:c r="J23" s="69"/>
      <x:c r="K23" s="69"/>
      <x:c r="L23" s="69"/>
      <x:c r="M23" s="69"/>
      <x:c r="N23" s="69"/>
      <x:c r="O23" s="69"/>
      <x:c r="P23" s="69"/>
      <x:c r="Q23" s="69"/>
      <x:c r="R23" s="69"/>
      <x:c r="S23" s="69"/>
      <x:c r="T23" s="69"/>
      <x:c r="U23" s="69"/>
      <x:c r="V23" s="69"/>
      <x:c r="W23" s="69"/>
      <x:c r="X23" s="69"/>
      <x:c r="Y23" s="69"/>
      <x:c r="Z23" s="69"/>
      <x:c r="AA23" s="69"/>
      <x:c r="AB23" s="69"/>
      <x:c r="AC23" s="69"/>
    </x:row>
    <x:row r="24">
      <x:c r="A24" s="69"/>
      <x:c r="B24" s="69"/>
      <x:c r="C24" s="69"/>
      <x:c r="D24" s="69"/>
      <x:c r="E24" s="69"/>
      <x:c r="F24" s="69"/>
      <x:c r="G24" s="69"/>
      <x:c r="H24" s="69"/>
      <x:c r="I24" s="69"/>
      <x:c r="J24" s="69"/>
      <x:c r="K24" s="69"/>
      <x:c r="L24" s="69"/>
      <x:c r="M24" s="69"/>
      <x:c r="N24" s="69"/>
      <x:c r="O24" s="69"/>
      <x:c r="P24" s="69"/>
      <x:c r="Q24" s="69"/>
      <x:c r="R24" s="69"/>
      <x:c r="S24" s="69"/>
      <x:c r="T24" s="69"/>
      <x:c r="U24" s="69"/>
      <x:c r="V24" s="69"/>
      <x:c r="W24" s="69"/>
      <x:c r="X24" s="69"/>
      <x:c r="Y24" s="69"/>
      <x:c r="Z24" s="69"/>
      <x:c r="AA24" s="69"/>
      <x:c r="AB24" s="69"/>
      <x:c r="AC24" s="69"/>
    </x:row>
    <x:row r="25">
      <x:c r="A25" s="69"/>
      <x:c r="B25" s="69"/>
      <x:c r="C25" s="69"/>
      <x:c r="D25" s="69"/>
      <x:c r="E25" s="69"/>
      <x:c r="F25" s="69"/>
      <x:c r="G25" s="69"/>
      <x:c r="H25" s="69"/>
      <x:c r="I25" s="69"/>
      <x:c r="J25" s="69"/>
      <x:c r="K25" s="69"/>
      <x:c r="L25" s="69"/>
      <x:c r="M25" s="69"/>
      <x:c r="N25" s="69"/>
      <x:c r="O25" s="69"/>
      <x:c r="P25" s="69"/>
      <x:c r="Q25" s="69"/>
      <x:c r="R25" s="69"/>
      <x:c r="S25" s="69"/>
      <x:c r="T25" s="69"/>
      <x:c r="U25" s="69"/>
      <x:c r="V25" s="69"/>
      <x:c r="W25" s="69"/>
      <x:c r="X25" s="69"/>
      <x:c r="Y25" s="69"/>
      <x:c r="Z25" s="69"/>
      <x:c r="AA25" s="69"/>
      <x:c r="AB25" s="69"/>
      <x:c r="AC25" s="69"/>
    </x:row>
    <x:row r="26">
      <x:c r="A26" s="69"/>
      <x:c r="B26" s="69"/>
      <x:c r="C26" s="69"/>
      <x:c r="D26" s="69"/>
      <x:c r="E26" s="69"/>
      <x:c r="F26" s="69"/>
      <x:c r="G26" s="69"/>
      <x:c r="H26" s="69"/>
      <x:c r="I26" s="69"/>
      <x:c r="J26" s="69"/>
      <x:c r="K26" s="69"/>
      <x:c r="L26" s="69"/>
      <x:c r="M26" s="69"/>
      <x:c r="N26" s="69"/>
      <x:c r="O26" s="69"/>
      <x:c r="P26" s="69"/>
      <x:c r="Q26" s="69"/>
      <x:c r="R26" s="69"/>
      <x:c r="S26" s="69"/>
      <x:c r="T26" s="69"/>
      <x:c r="U26" s="69"/>
      <x:c r="V26" s="69"/>
      <x:c r="W26" s="69"/>
      <x:c r="X26" s="69"/>
      <x:c r="Y26" s="69"/>
      <x:c r="Z26" s="69"/>
      <x:c r="AA26" s="69"/>
      <x:c r="AB26" s="69"/>
      <x:c r="AC26" s="69"/>
    </x:row>
    <x:row r="27">
      <x:c r="A27" s="69"/>
      <x:c r="B27" s="69"/>
      <x:c r="C27" s="69"/>
      <x:c r="D27" s="69"/>
      <x:c r="E27" s="69"/>
      <x:c r="F27" s="69"/>
      <x:c r="G27" s="69"/>
      <x:c r="H27" s="69"/>
      <x:c r="I27" s="69"/>
      <x:c r="J27" s="69"/>
      <x:c r="K27" s="69"/>
      <x:c r="L27" s="69"/>
      <x:c r="M27" s="69"/>
      <x:c r="N27" s="69"/>
      <x:c r="O27" s="69"/>
      <x:c r="P27" s="69"/>
      <x:c r="Q27" s="69"/>
      <x:c r="R27" s="69"/>
      <x:c r="S27" s="69"/>
      <x:c r="T27" s="69"/>
      <x:c r="U27" s="69"/>
      <x:c r="V27" s="69"/>
      <x:c r="W27" s="69"/>
      <x:c r="X27" s="69"/>
      <x:c r="Y27" s="69"/>
      <x:c r="Z27" s="69"/>
      <x:c r="AA27" s="69"/>
      <x:c r="AB27" s="69"/>
      <x:c r="AC27" s="69"/>
    </x:row>
    <x:row r="28">
      <x:c r="A28" s="69"/>
      <x:c r="B28" s="69"/>
      <x:c r="C28" s="69"/>
      <x:c r="D28" s="69"/>
      <x:c r="E28" s="69"/>
      <x:c r="F28" s="69"/>
      <x:c r="G28" s="69"/>
      <x:c r="H28" s="69"/>
      <x:c r="I28" s="69"/>
      <x:c r="J28" s="69"/>
      <x:c r="K28" s="69"/>
      <x:c r="L28" s="69"/>
      <x:c r="M28" s="69"/>
      <x:c r="N28" s="69"/>
      <x:c r="O28" s="69"/>
      <x:c r="P28" s="69"/>
      <x:c r="Q28" s="69"/>
      <x:c r="R28" s="69"/>
      <x:c r="S28" s="69"/>
      <x:c r="T28" s="69"/>
      <x:c r="U28" s="69"/>
      <x:c r="V28" s="69"/>
      <x:c r="W28" s="69"/>
      <x:c r="X28" s="69"/>
      <x:c r="Y28" s="69"/>
      <x:c r="Z28" s="69"/>
      <x:c r="AA28" s="69"/>
      <x:c r="AB28" s="69"/>
      <x:c r="AC28" s="69"/>
    </x:row>
    <x:row r="29">
      <x:c r="A29" s="69"/>
      <x:c r="B29" s="69"/>
      <x:c r="C29" s="69"/>
      <x:c r="D29" s="69"/>
      <x:c r="E29" s="69"/>
      <x:c r="F29" s="69"/>
      <x:c r="G29" s="69"/>
      <x:c r="H29" s="69"/>
      <x:c r="I29" s="69"/>
      <x:c r="J29" s="69"/>
      <x:c r="K29" s="69"/>
      <x:c r="L29" s="69"/>
      <x:c r="M29" s="69"/>
      <x:c r="N29" s="69"/>
      <x:c r="O29" s="69"/>
      <x:c r="P29" s="69"/>
      <x:c r="Q29" s="69"/>
      <x:c r="R29" s="69"/>
      <x:c r="S29" s="69"/>
      <x:c r="T29" s="69"/>
      <x:c r="U29" s="69"/>
      <x:c r="V29" s="69"/>
      <x:c r="W29" s="69"/>
      <x:c r="X29" s="69"/>
      <x:c r="Y29" s="69"/>
      <x:c r="Z29" s="69"/>
      <x:c r="AA29" s="69"/>
      <x:c r="AB29" s="69"/>
      <x:c r="AC29" s="69"/>
    </x:row>
    <x:row r="30">
      <x:c r="A30" s="69"/>
      <x:c r="B30" s="69"/>
      <x:c r="C30" s="69"/>
      <x:c r="D30" s="69"/>
      <x:c r="E30" s="69"/>
      <x:c r="F30" s="69"/>
      <x:c r="G30" s="69"/>
      <x:c r="H30" s="69"/>
      <x:c r="I30" s="69"/>
      <x:c r="J30" s="69"/>
      <x:c r="K30" s="69"/>
      <x:c r="L30" s="69"/>
      <x:c r="M30" s="69"/>
      <x:c r="N30" s="69"/>
      <x:c r="O30" s="69"/>
      <x:c r="P30" s="69"/>
      <x:c r="Q30" s="69"/>
      <x:c r="R30" s="69"/>
      <x:c r="S30" s="69"/>
      <x:c r="T30" s="69"/>
      <x:c r="U30" s="69"/>
      <x:c r="V30" s="69"/>
      <x:c r="W30" s="69"/>
      <x:c r="X30" s="69"/>
      <x:c r="Y30" s="69"/>
      <x:c r="Z30" s="69"/>
      <x:c r="AA30" s="69"/>
      <x:c r="AB30" s="69"/>
      <x:c r="AC30" s="69"/>
    </x:row>
    <x:row r="31">
      <x:c r="A31" s="69"/>
      <x:c r="B31" s="69"/>
      <x:c r="C31" s="69"/>
      <x:c r="D31" s="69"/>
      <x:c r="E31" s="69"/>
      <x:c r="F31" s="69"/>
      <x:c r="G31" s="69"/>
      <x:c r="H31" s="69"/>
      <x:c r="I31" s="69"/>
      <x:c r="J31" s="69"/>
      <x:c r="K31" s="69"/>
      <x:c r="L31" s="69"/>
      <x:c r="M31" s="69"/>
      <x:c r="N31" s="69"/>
      <x:c r="O31" s="69"/>
      <x:c r="P31" s="69"/>
      <x:c r="Q31" s="69"/>
      <x:c r="R31" s="69"/>
      <x:c r="S31" s="69"/>
      <x:c r="T31" s="69"/>
      <x:c r="U31" s="69"/>
      <x:c r="V31" s="69"/>
      <x:c r="W31" s="69"/>
      <x:c r="X31" s="69"/>
      <x:c r="Y31" s="69"/>
      <x:c r="Z31" s="69"/>
      <x:c r="AA31" s="69"/>
      <x:c r="AB31" s="69"/>
      <x:c r="AC31" s="69"/>
    </x:row>
    <x:row r="32">
      <x:c r="A32" s="69"/>
      <x:c r="B32" s="69"/>
      <x:c r="C32" s="69"/>
      <x:c r="D32" s="69"/>
      <x:c r="E32" s="69"/>
      <x:c r="F32" s="69"/>
      <x:c r="G32" s="69"/>
      <x:c r="H32" s="69"/>
      <x:c r="I32" s="69"/>
      <x:c r="J32" s="69"/>
      <x:c r="K32" s="69"/>
      <x:c r="L32" s="69"/>
      <x:c r="M32" s="69"/>
      <x:c r="N32" s="69"/>
      <x:c r="O32" s="69"/>
      <x:c r="P32" s="69"/>
      <x:c r="Q32" s="69"/>
      <x:c r="R32" s="69"/>
      <x:c r="S32" s="69"/>
      <x:c r="T32" s="69"/>
      <x:c r="U32" s="69"/>
      <x:c r="V32" s="69"/>
      <x:c r="W32" s="69"/>
      <x:c r="X32" s="69"/>
      <x:c r="Y32" s="69"/>
      <x:c r="Z32" s="69"/>
      <x:c r="AA32" s="69"/>
      <x:c r="AB32" s="69"/>
      <x:c r="AC32" s="69"/>
    </x:row>
    <x:row r="33">
      <x:c r="A33" s="69"/>
      <x:c r="B33" s="69"/>
      <x:c r="C33" s="69"/>
      <x:c r="D33" s="69"/>
      <x:c r="E33" s="69"/>
      <x:c r="F33" s="69"/>
      <x:c r="G33" s="69"/>
      <x:c r="H33" s="69"/>
      <x:c r="I33" s="69"/>
      <x:c r="J33" s="69"/>
      <x:c r="K33" s="69"/>
      <x:c r="L33" s="69"/>
      <x:c r="M33" s="69"/>
      <x:c r="N33" s="69"/>
      <x:c r="O33" s="69"/>
      <x:c r="P33" s="69"/>
      <x:c r="Q33" s="69"/>
      <x:c r="R33" s="69"/>
      <x:c r="S33" s="69"/>
      <x:c r="T33" s="69"/>
      <x:c r="U33" s="69"/>
      <x:c r="V33" s="69"/>
      <x:c r="W33" s="69"/>
      <x:c r="X33" s="69"/>
      <x:c r="Y33" s="69"/>
      <x:c r="Z33" s="69"/>
      <x:c r="AA33" s="69"/>
      <x:c r="AB33" s="69"/>
      <x:c r="AC33" s="69"/>
    </x:row>
    <x:row r="34">
      <x:c r="A34" s="69"/>
      <x:c r="B34" s="69"/>
      <x:c r="C34" s="69"/>
      <x:c r="D34" s="69"/>
      <x:c r="E34" s="69"/>
      <x:c r="F34" s="69"/>
      <x:c r="G34" s="69"/>
      <x:c r="H34" s="69"/>
      <x:c r="I34" s="69"/>
      <x:c r="J34" s="69"/>
      <x:c r="K34" s="69"/>
      <x:c r="L34" s="69"/>
      <x:c r="M34" s="69"/>
      <x:c r="N34" s="69"/>
      <x:c r="O34" s="69"/>
      <x:c r="P34" s="69"/>
      <x:c r="Q34" s="69"/>
      <x:c r="R34" s="69"/>
      <x:c r="S34" s="69"/>
      <x:c r="T34" s="69"/>
      <x:c r="U34" s="69"/>
      <x:c r="V34" s="69"/>
      <x:c r="W34" s="69"/>
      <x:c r="X34" s="69"/>
      <x:c r="Y34" s="69"/>
      <x:c r="Z34" s="69"/>
      <x:c r="AA34" s="69"/>
      <x:c r="AB34" s="69"/>
      <x:c r="AC34" s="69"/>
    </x:row>
    <x:row r="35">
      <x:c r="A35" s="69"/>
      <x:c r="B35" s="69"/>
      <x:c r="C35" s="69"/>
      <x:c r="D35" s="69"/>
      <x:c r="E35" s="69"/>
      <x:c r="F35" s="69"/>
      <x:c r="G35" s="69"/>
      <x:c r="H35" s="69"/>
      <x:c r="I35" s="69"/>
      <x:c r="J35" s="69"/>
      <x:c r="K35" s="69"/>
      <x:c r="L35" s="69"/>
      <x:c r="M35" s="69"/>
      <x:c r="N35" s="69"/>
      <x:c r="O35" s="69"/>
      <x:c r="P35" s="69"/>
      <x:c r="Q35" s="69"/>
      <x:c r="R35" s="69"/>
      <x:c r="S35" s="69"/>
      <x:c r="T35" s="69"/>
      <x:c r="U35" s="69"/>
      <x:c r="V35" s="69"/>
      <x:c r="W35" s="69"/>
      <x:c r="X35" s="69"/>
      <x:c r="Y35" s="69"/>
      <x:c r="Z35" s="69"/>
      <x:c r="AA35" s="69"/>
      <x:c r="AB35" s="69"/>
      <x:c r="AC35" s="69"/>
    </x:row>
    <x:row r="36">
      <x:c r="A36" s="69"/>
      <x:c r="B36" s="69"/>
      <x:c r="C36" s="69"/>
      <x:c r="D36" s="69"/>
      <x:c r="E36" s="69"/>
      <x:c r="F36" s="69"/>
      <x:c r="G36" s="69"/>
      <x:c r="H36" s="69"/>
      <x:c r="I36" s="69"/>
      <x:c r="J36" s="69"/>
      <x:c r="K36" s="69"/>
      <x:c r="L36" s="69"/>
      <x:c r="M36" s="69"/>
      <x:c r="N36" s="69"/>
      <x:c r="O36" s="69"/>
      <x:c r="P36" s="69"/>
      <x:c r="Q36" s="69"/>
      <x:c r="R36" s="69"/>
      <x:c r="S36" s="69"/>
      <x:c r="T36" s="69"/>
      <x:c r="U36" s="69"/>
      <x:c r="V36" s="69"/>
      <x:c r="W36" s="69"/>
      <x:c r="X36" s="69"/>
      <x:c r="Y36" s="69"/>
      <x:c r="Z36" s="69"/>
      <x:c r="AA36" s="69"/>
      <x:c r="AB36" s="69"/>
      <x:c r="AC36" s="69"/>
    </x:row>
    <x:row r="37">
      <x:c r="A37" s="69"/>
      <x:c r="B37" s="69"/>
      <x:c r="C37" s="69"/>
      <x:c r="D37" s="69"/>
      <x:c r="E37" s="69"/>
      <x:c r="F37" s="69"/>
      <x:c r="G37" s="69"/>
      <x:c r="H37" s="69"/>
      <x:c r="I37" s="69"/>
      <x:c r="J37" s="69"/>
      <x:c r="K37" s="69"/>
      <x:c r="L37" s="69"/>
      <x:c r="M37" s="69"/>
      <x:c r="N37" s="69"/>
      <x:c r="O37" s="69"/>
      <x:c r="P37" s="69"/>
      <x:c r="Q37" s="69"/>
      <x:c r="R37" s="69"/>
      <x:c r="S37" s="69"/>
      <x:c r="T37" s="69"/>
      <x:c r="U37" s="69"/>
      <x:c r="V37" s="69"/>
      <x:c r="W37" s="69"/>
      <x:c r="X37" s="69"/>
      <x:c r="Y37" s="69"/>
      <x:c r="Z37" s="69"/>
      <x:c r="AA37" s="69"/>
      <x:c r="AB37" s="69"/>
      <x:c r="AC37" s="69"/>
    </x:row>
    <x:row r="38">
      <x:c r="A38" s="69"/>
      <x:c r="B38" s="69"/>
      <x:c r="C38" s="69"/>
      <x:c r="D38" s="69"/>
      <x:c r="E38" s="69"/>
      <x:c r="F38" s="69"/>
      <x:c r="G38" s="69"/>
      <x:c r="H38" s="69"/>
      <x:c r="I38" s="69"/>
      <x:c r="J38" s="69"/>
      <x:c r="K38" s="69"/>
      <x:c r="L38" s="69"/>
      <x:c r="M38" s="69"/>
      <x:c r="N38" s="69"/>
      <x:c r="O38" s="69"/>
      <x:c r="P38" s="69"/>
      <x:c r="Q38" s="69"/>
      <x:c r="R38" s="69"/>
      <x:c r="S38" s="69"/>
      <x:c r="T38" s="69"/>
      <x:c r="U38" s="69"/>
      <x:c r="V38" s="69"/>
      <x:c r="W38" s="69"/>
      <x:c r="X38" s="69"/>
      <x:c r="Y38" s="69"/>
      <x:c r="Z38" s="69"/>
      <x:c r="AA38" s="69"/>
      <x:c r="AB38" s="69"/>
      <x:c r="AC38" s="69"/>
    </x:row>
    <x:row r="39">
      <x:c r="A39" s="69"/>
      <x:c r="B39" s="69"/>
      <x:c r="C39" s="69"/>
      <x:c r="D39" s="69"/>
      <x:c r="E39" s="69"/>
      <x:c r="F39" s="69"/>
      <x:c r="G39" s="69"/>
      <x:c r="H39" s="69"/>
      <x:c r="I39" s="69"/>
      <x:c r="J39" s="69"/>
      <x:c r="K39" s="69"/>
      <x:c r="L39" s="69"/>
      <x:c r="M39" s="69"/>
      <x:c r="N39" s="69"/>
      <x:c r="O39" s="69"/>
      <x:c r="P39" s="69"/>
      <x:c r="Q39" s="69"/>
      <x:c r="R39" s="69"/>
      <x:c r="S39" s="69"/>
      <x:c r="T39" s="69"/>
      <x:c r="U39" s="69"/>
      <x:c r="V39" s="69"/>
      <x:c r="W39" s="69"/>
      <x:c r="X39" s="69"/>
      <x:c r="Y39" s="69"/>
      <x:c r="Z39" s="69"/>
      <x:c r="AA39" s="69"/>
      <x:c r="AB39" s="69"/>
      <x:c r="AC39" s="69"/>
    </x:row>
    <x:row r="40">
      <x:c r="A40" s="69"/>
      <x:c r="B40" s="69"/>
      <x:c r="C40" s="69"/>
      <x:c r="D40" s="69"/>
      <x:c r="E40" s="69"/>
      <x:c r="F40" s="69"/>
      <x:c r="G40" s="69"/>
      <x:c r="H40" s="69"/>
      <x:c r="I40" s="69"/>
      <x:c r="J40" s="69"/>
      <x:c r="K40" s="69"/>
      <x:c r="L40" s="69"/>
      <x:c r="M40" s="69"/>
      <x:c r="N40" s="69"/>
      <x:c r="O40" s="69"/>
      <x:c r="P40" s="69"/>
      <x:c r="Q40" s="69"/>
      <x:c r="R40" s="69"/>
      <x:c r="S40" s="69"/>
      <x:c r="T40" s="69"/>
      <x:c r="U40" s="69"/>
      <x:c r="V40" s="69"/>
      <x:c r="W40" s="69"/>
      <x:c r="X40" s="69"/>
      <x:c r="Y40" s="69"/>
      <x:c r="Z40" s="69"/>
      <x:c r="AA40" s="69"/>
      <x:c r="AB40" s="69"/>
      <x:c r="AC40" s="69"/>
    </x:row>
    <x:row r="41">
      <x:c r="A41" s="69"/>
      <x:c r="B41" s="69"/>
      <x:c r="C41" s="69"/>
      <x:c r="D41" s="69"/>
      <x:c r="E41" s="69"/>
      <x:c r="F41" s="69"/>
      <x:c r="G41" s="69"/>
      <x:c r="H41" s="69"/>
      <x:c r="I41" s="69"/>
      <x:c r="J41" s="69"/>
      <x:c r="K41" s="69"/>
      <x:c r="L41" s="69"/>
      <x:c r="M41" s="69"/>
      <x:c r="N41" s="69"/>
      <x:c r="O41" s="69"/>
      <x:c r="P41" s="69"/>
      <x:c r="Q41" s="69"/>
      <x:c r="R41" s="69"/>
      <x:c r="S41" s="69"/>
      <x:c r="T41" s="69"/>
      <x:c r="U41" s="69"/>
      <x:c r="V41" s="69"/>
      <x:c r="W41" s="69"/>
      <x:c r="X41" s="69"/>
      <x:c r="Y41" s="69"/>
      <x:c r="Z41" s="69"/>
      <x:c r="AA41" s="69"/>
      <x:c r="AB41" s="69"/>
      <x:c r="AC41" s="69"/>
    </x:row>
    <x:row r="42">
      <x:c r="A42" s="69"/>
      <x:c r="B42" s="69"/>
      <x:c r="C42" s="69"/>
      <x:c r="D42" s="69"/>
      <x:c r="E42" s="69"/>
      <x:c r="F42" s="69"/>
      <x:c r="G42" s="69"/>
      <x:c r="H42" s="69"/>
      <x:c r="I42" s="69"/>
      <x:c r="J42" s="69"/>
      <x:c r="K42" s="69"/>
      <x:c r="L42" s="69"/>
      <x:c r="M42" s="69"/>
      <x:c r="N42" s="69"/>
      <x:c r="O42" s="69"/>
      <x:c r="P42" s="69"/>
      <x:c r="Q42" s="69"/>
      <x:c r="R42" s="69"/>
      <x:c r="S42" s="69"/>
      <x:c r="T42" s="69"/>
      <x:c r="U42" s="69"/>
      <x:c r="V42" s="69"/>
      <x:c r="W42" s="69"/>
      <x:c r="X42" s="69"/>
      <x:c r="Y42" s="69"/>
      <x:c r="Z42" s="69"/>
      <x:c r="AA42" s="69"/>
      <x:c r="AB42" s="69"/>
      <x:c r="AC42" s="69"/>
    </x:row>
    <x:row r="43">
      <x:c r="A43" s="69"/>
      <x:c r="B43" s="69"/>
      <x:c r="C43" s="69"/>
      <x:c r="D43" s="69"/>
      <x:c r="E43" s="69"/>
      <x:c r="F43" s="69"/>
      <x:c r="G43" s="69"/>
      <x:c r="H43" s="69"/>
      <x:c r="I43" s="69"/>
      <x:c r="J43" s="69"/>
      <x:c r="K43" s="69"/>
      <x:c r="L43" s="69"/>
      <x:c r="M43" s="69"/>
      <x:c r="N43" s="69"/>
      <x:c r="O43" s="69"/>
      <x:c r="P43" s="69"/>
      <x:c r="Q43" s="69"/>
      <x:c r="R43" s="69"/>
      <x:c r="S43" s="69"/>
      <x:c r="T43" s="69"/>
      <x:c r="U43" s="69"/>
      <x:c r="V43" s="69"/>
      <x:c r="W43" s="69"/>
      <x:c r="X43" s="69"/>
      <x:c r="Y43" s="69"/>
      <x:c r="Z43" s="69"/>
      <x:c r="AA43" s="69"/>
      <x:c r="AB43" s="69"/>
      <x:c r="AC43" s="69"/>
    </x:row>
    <x:row r="44">
      <x:c r="A44" s="69"/>
      <x:c r="B44" s="69"/>
      <x:c r="C44" s="69"/>
      <x:c r="D44" s="69"/>
      <x:c r="E44" s="69"/>
      <x:c r="F44" s="69"/>
      <x:c r="G44" s="69"/>
      <x:c r="H44" s="69"/>
      <x:c r="I44" s="69"/>
      <x:c r="J44" s="69"/>
      <x:c r="K44" s="69"/>
      <x:c r="L44" s="69"/>
      <x:c r="M44" s="69"/>
      <x:c r="N44" s="69"/>
      <x:c r="O44" s="69"/>
      <x:c r="P44" s="69"/>
      <x:c r="Q44" s="69"/>
      <x:c r="R44" s="69"/>
      <x:c r="S44" s="69"/>
      <x:c r="T44" s="69"/>
      <x:c r="U44" s="69"/>
      <x:c r="V44" s="69"/>
      <x:c r="W44" s="69"/>
      <x:c r="X44" s="69"/>
      <x:c r="Y44" s="69"/>
      <x:c r="Z44" s="69"/>
      <x:c r="AA44" s="69"/>
      <x:c r="AB44" s="69"/>
      <x:c r="AC44" s="69"/>
    </x:row>
    <x:row r="45">
      <x:c r="A45" s="69"/>
      <x:c r="B45" s="69"/>
      <x:c r="C45" s="69"/>
      <x:c r="D45" s="69"/>
      <x:c r="E45" s="69"/>
      <x:c r="F45" s="69"/>
      <x:c r="G45" s="69"/>
      <x:c r="H45" s="69"/>
      <x:c r="I45" s="69"/>
      <x:c r="J45" s="69"/>
      <x:c r="K45" s="69"/>
      <x:c r="L45" s="69"/>
      <x:c r="M45" s="69"/>
      <x:c r="N45" s="69"/>
      <x:c r="O45" s="69"/>
      <x:c r="P45" s="69"/>
      <x:c r="Q45" s="69"/>
      <x:c r="R45" s="69"/>
      <x:c r="S45" s="69"/>
      <x:c r="T45" s="69"/>
      <x:c r="U45" s="69"/>
      <x:c r="V45" s="69"/>
      <x:c r="W45" s="69"/>
      <x:c r="X45" s="69"/>
      <x:c r="Y45" s="69"/>
      <x:c r="Z45" s="69"/>
      <x:c r="AA45" s="69"/>
      <x:c r="AB45" s="69"/>
      <x:c r="AC45" s="69"/>
    </x:row>
    <x:row r="46">
      <x:c r="A46" s="69"/>
      <x:c r="B46" s="69"/>
      <x:c r="C46" s="69"/>
      <x:c r="D46" s="69"/>
      <x:c r="E46" s="69"/>
      <x:c r="F46" s="69"/>
      <x:c r="G46" s="69"/>
      <x:c r="H46" s="69"/>
      <x:c r="I46" s="69"/>
      <x:c r="J46" s="69"/>
      <x:c r="K46" s="69"/>
      <x:c r="L46" s="69"/>
      <x:c r="M46" s="69"/>
      <x:c r="N46" s="69"/>
      <x:c r="O46" s="69"/>
      <x:c r="P46" s="69"/>
      <x:c r="Q46" s="69"/>
      <x:c r="R46" s="69"/>
      <x:c r="S46" s="69"/>
      <x:c r="T46" s="69"/>
      <x:c r="U46" s="69"/>
      <x:c r="V46" s="69"/>
      <x:c r="W46" s="69"/>
      <x:c r="X46" s="69"/>
      <x:c r="Y46" s="69"/>
      <x:c r="Z46" s="69"/>
      <x:c r="AA46" s="69"/>
      <x:c r="AB46" s="69"/>
      <x:c r="AC46" s="69"/>
    </x:row>
    <x:row r="47">
      <x:c r="A47" s="69"/>
      <x:c r="B47" s="69"/>
      <x:c r="C47" s="69"/>
      <x:c r="D47" s="69"/>
      <x:c r="E47" s="69"/>
      <x:c r="F47" s="69"/>
      <x:c r="G47" s="69"/>
      <x:c r="H47" s="69"/>
      <x:c r="I47" s="69"/>
      <x:c r="J47" s="69"/>
      <x:c r="K47" s="69"/>
      <x:c r="L47" s="69"/>
      <x:c r="M47" s="69"/>
      <x:c r="N47" s="69"/>
      <x:c r="O47" s="69"/>
      <x:c r="P47" s="69"/>
      <x:c r="Q47" s="69"/>
      <x:c r="R47" s="69"/>
      <x:c r="S47" s="69"/>
      <x:c r="T47" s="69"/>
      <x:c r="U47" s="69"/>
      <x:c r="V47" s="69"/>
      <x:c r="W47" s="69"/>
      <x:c r="X47" s="69"/>
      <x:c r="Y47" s="69"/>
      <x:c r="Z47" s="69"/>
      <x:c r="AA47" s="69"/>
      <x:c r="AB47" s="69"/>
      <x:c r="AC47" s="69"/>
    </x:row>
    <x:row r="48">
      <x:c r="A48" s="69"/>
      <x:c r="B48" s="69"/>
      <x:c r="C48" s="69"/>
      <x:c r="D48" s="69"/>
      <x:c r="E48" s="69"/>
      <x:c r="F48" s="69"/>
      <x:c r="G48" s="69"/>
      <x:c r="H48" s="69"/>
      <x:c r="I48" s="69"/>
      <x:c r="J48" s="69"/>
      <x:c r="K48" s="69"/>
      <x:c r="L48" s="69"/>
      <x:c r="M48" s="69"/>
      <x:c r="N48" s="69"/>
      <x:c r="O48" s="69"/>
      <x:c r="P48" s="69"/>
      <x:c r="Q48" s="69"/>
      <x:c r="R48" s="69"/>
      <x:c r="S48" s="69"/>
      <x:c r="T48" s="69"/>
      <x:c r="U48" s="69"/>
      <x:c r="V48" s="69"/>
      <x:c r="W48" s="69"/>
      <x:c r="X48" s="69"/>
      <x:c r="Y48" s="69"/>
      <x:c r="Z48" s="69"/>
      <x:c r="AA48" s="69"/>
      <x:c r="AB48" s="69"/>
      <x:c r="AC48" s="69"/>
    </x:row>
    <x:row r="49">
      <x:c r="A49" s="69"/>
      <x:c r="B49" s="69"/>
      <x:c r="C49" s="69"/>
      <x:c r="D49" s="69"/>
      <x:c r="E49" s="69"/>
      <x:c r="F49" s="69"/>
      <x:c r="G49" s="69"/>
      <x:c r="H49" s="69"/>
      <x:c r="I49" s="69"/>
      <x:c r="J49" s="69"/>
      <x:c r="K49" s="69"/>
      <x:c r="L49" s="69"/>
      <x:c r="M49" s="69"/>
      <x:c r="N49" s="69"/>
      <x:c r="O49" s="69"/>
      <x:c r="P49" s="69"/>
      <x:c r="Q49" s="69"/>
      <x:c r="R49" s="69"/>
      <x:c r="S49" s="69"/>
      <x:c r="T49" s="69"/>
      <x:c r="U49" s="69"/>
      <x:c r="V49" s="69"/>
      <x:c r="W49" s="69"/>
      <x:c r="X49" s="69"/>
      <x:c r="Y49" s="69"/>
      <x:c r="Z49" s="69"/>
      <x:c r="AA49" s="69"/>
      <x:c r="AB49" s="69"/>
      <x:c r="AC49" s="69"/>
    </x:row>
    <x:row r="50">
      <x:c r="A50" s="69"/>
      <x:c r="B50" s="69"/>
      <x:c r="C50" s="69"/>
      <x:c r="D50" s="69"/>
      <x:c r="E50" s="69"/>
      <x:c r="F50" s="69"/>
      <x:c r="G50" s="69"/>
      <x:c r="H50" s="69"/>
      <x:c r="I50" s="69"/>
      <x:c r="J50" s="69"/>
      <x:c r="K50" s="69"/>
      <x:c r="L50" s="69"/>
      <x:c r="M50" s="69"/>
      <x:c r="N50" s="69"/>
      <x:c r="O50" s="69"/>
      <x:c r="P50" s="69"/>
      <x:c r="Q50" s="69"/>
      <x:c r="R50" s="69"/>
      <x:c r="S50" s="69"/>
      <x:c r="T50" s="69"/>
      <x:c r="U50" s="69"/>
      <x:c r="V50" s="69"/>
      <x:c r="W50" s="69"/>
      <x:c r="X50" s="69"/>
      <x:c r="Y50" s="69"/>
      <x:c r="Z50" s="69"/>
      <x:c r="AA50" s="69"/>
      <x:c r="AB50" s="69"/>
      <x:c r="AC50" s="69"/>
    </x:row>
    <x:row r="51">
      <x:c r="A51" s="69"/>
      <x:c r="B51" s="69"/>
      <x:c r="C51" s="69"/>
      <x:c r="D51" s="69"/>
      <x:c r="E51" s="69"/>
      <x:c r="F51" s="69"/>
      <x:c r="G51" s="69"/>
      <x:c r="H51" s="69"/>
      <x:c r="I51" s="69"/>
      <x:c r="J51" s="69"/>
      <x:c r="K51" s="69"/>
      <x:c r="L51" s="69"/>
      <x:c r="M51" s="69"/>
      <x:c r="N51" s="69"/>
      <x:c r="O51" s="69"/>
      <x:c r="P51" s="69"/>
      <x:c r="Q51" s="69"/>
      <x:c r="R51" s="69"/>
      <x:c r="S51" s="69"/>
      <x:c r="T51" s="69"/>
      <x:c r="U51" s="69"/>
      <x:c r="V51" s="69"/>
      <x:c r="W51" s="69"/>
      <x:c r="X51" s="69"/>
      <x:c r="Y51" s="69"/>
      <x:c r="Z51" s="69"/>
      <x:c r="AA51" s="69"/>
      <x:c r="AB51" s="69"/>
      <x:c r="AC51" s="69"/>
    </x:row>
    <x:row r="52">
      <x:c r="A52" s="69"/>
      <x:c r="B52" s="69"/>
      <x:c r="C52" s="69"/>
      <x:c r="D52" s="69"/>
      <x:c r="E52" s="69"/>
      <x:c r="F52" s="69"/>
      <x:c r="G52" s="69"/>
      <x:c r="H52" s="69"/>
      <x:c r="I52" s="69"/>
      <x:c r="J52" s="69"/>
      <x:c r="K52" s="69"/>
      <x:c r="L52" s="69"/>
      <x:c r="M52" s="69"/>
      <x:c r="N52" s="69"/>
      <x:c r="O52" s="69"/>
      <x:c r="P52" s="69"/>
      <x:c r="Q52" s="69"/>
      <x:c r="R52" s="69"/>
      <x:c r="S52" s="69"/>
      <x:c r="T52" s="69"/>
      <x:c r="U52" s="69"/>
      <x:c r="V52" s="69"/>
      <x:c r="W52" s="69"/>
      <x:c r="X52" s="69"/>
      <x:c r="Y52" s="69"/>
      <x:c r="Z52" s="69"/>
      <x:c r="AA52" s="69"/>
      <x:c r="AB52" s="69"/>
      <x:c r="AC52" s="69"/>
    </x:row>
    <x:row r="53">
      <x:c r="A53" s="69"/>
      <x:c r="B53" s="69"/>
      <x:c r="C53" s="69"/>
      <x:c r="D53" s="69"/>
      <x:c r="E53" s="69"/>
      <x:c r="F53" s="69"/>
      <x:c r="G53" s="69"/>
      <x:c r="H53" s="69"/>
      <x:c r="I53" s="69"/>
      <x:c r="J53" s="69"/>
      <x:c r="K53" s="69"/>
      <x:c r="L53" s="69"/>
      <x:c r="M53" s="69"/>
      <x:c r="N53" s="69"/>
      <x:c r="O53" s="69"/>
      <x:c r="P53" s="69"/>
      <x:c r="Q53" s="69"/>
      <x:c r="R53" s="69"/>
      <x:c r="S53" s="69"/>
      <x:c r="T53" s="69"/>
      <x:c r="U53" s="69"/>
      <x:c r="V53" s="69"/>
      <x:c r="W53" s="69"/>
      <x:c r="X53" s="69"/>
      <x:c r="Y53" s="69"/>
      <x:c r="Z53" s="69"/>
      <x:c r="AA53" s="69"/>
      <x:c r="AB53" s="69"/>
      <x:c r="AC53" s="69"/>
    </x:row>
    <x:row r="54">
      <x:c r="A54" s="69"/>
      <x:c r="B54" s="69"/>
      <x:c r="C54" s="69"/>
      <x:c r="D54" s="69"/>
      <x:c r="E54" s="69"/>
      <x:c r="F54" s="69"/>
      <x:c r="G54" s="69"/>
      <x:c r="H54" s="69"/>
      <x:c r="I54" s="69"/>
      <x:c r="J54" s="69"/>
      <x:c r="K54" s="69"/>
      <x:c r="L54" s="69"/>
      <x:c r="M54" s="69"/>
      <x:c r="N54" s="69"/>
      <x:c r="O54" s="69"/>
      <x:c r="P54" s="69"/>
      <x:c r="Q54" s="69"/>
      <x:c r="R54" s="69"/>
      <x:c r="S54" s="69"/>
      <x:c r="T54" s="69"/>
      <x:c r="U54" s="69"/>
      <x:c r="V54" s="69"/>
      <x:c r="W54" s="69"/>
      <x:c r="X54" s="69"/>
      <x:c r="Y54" s="69"/>
      <x:c r="Z54" s="69"/>
      <x:c r="AA54" s="69"/>
      <x:c r="AB54" s="69"/>
      <x:c r="AC54" s="69"/>
    </x:row>
    <x:row r="55">
      <x:c r="A55" s="69"/>
      <x:c r="B55" s="69"/>
      <x:c r="C55" s="69"/>
      <x:c r="D55" s="69"/>
      <x:c r="E55" s="69"/>
      <x:c r="F55" s="69"/>
      <x:c r="G55" s="69"/>
      <x:c r="H55" s="69"/>
      <x:c r="I55" s="69"/>
      <x:c r="J55" s="69"/>
      <x:c r="K55" s="69"/>
      <x:c r="L55" s="69"/>
      <x:c r="M55" s="69"/>
      <x:c r="N55" s="69"/>
      <x:c r="O55" s="69"/>
      <x:c r="P55" s="69"/>
      <x:c r="Q55" s="69"/>
      <x:c r="R55" s="69"/>
      <x:c r="S55" s="69"/>
      <x:c r="T55" s="69"/>
      <x:c r="U55" s="69"/>
      <x:c r="V55" s="69"/>
      <x:c r="W55" s="69"/>
      <x:c r="X55" s="69"/>
      <x:c r="Y55" s="69"/>
      <x:c r="Z55" s="69"/>
      <x:c r="AA55" s="69"/>
      <x:c r="AB55" s="69"/>
      <x:c r="AC55" s="69"/>
    </x:row>
    <x:row r="56">
      <x:c r="A56" s="69"/>
      <x:c r="B56" s="69"/>
      <x:c r="C56" s="69"/>
      <x:c r="D56" s="69"/>
      <x:c r="E56" s="69"/>
      <x:c r="F56" s="69"/>
      <x:c r="G56" s="69"/>
      <x:c r="H56" s="69"/>
      <x:c r="I56" s="69"/>
      <x:c r="J56" s="69"/>
      <x:c r="K56" s="69"/>
      <x:c r="L56" s="69"/>
      <x:c r="M56" s="69"/>
      <x:c r="N56" s="69"/>
      <x:c r="O56" s="69"/>
      <x:c r="P56" s="69"/>
      <x:c r="Q56" s="69"/>
      <x:c r="R56" s="69"/>
      <x:c r="S56" s="69"/>
      <x:c r="T56" s="69"/>
      <x:c r="U56" s="69"/>
      <x:c r="V56" s="69"/>
      <x:c r="W56" s="69"/>
      <x:c r="X56" s="69"/>
      <x:c r="Y56" s="69"/>
      <x:c r="Z56" s="69"/>
      <x:c r="AA56" s="69"/>
      <x:c r="AB56" s="69"/>
      <x:c r="AC56" s="69"/>
    </x:row>
    <x:row r="57">
      <x:c r="A57" s="69"/>
      <x:c r="B57" s="69"/>
      <x:c r="C57" s="69"/>
      <x:c r="D57" s="69"/>
      <x:c r="E57" s="69"/>
      <x:c r="F57" s="69"/>
      <x:c r="G57" s="69"/>
      <x:c r="H57" s="69"/>
      <x:c r="I57" s="69"/>
      <x:c r="J57" s="69"/>
      <x:c r="K57" s="69"/>
      <x:c r="L57" s="69"/>
      <x:c r="M57" s="69"/>
      <x:c r="N57" s="69"/>
      <x:c r="O57" s="69"/>
      <x:c r="P57" s="69"/>
      <x:c r="Q57" s="69"/>
      <x:c r="R57" s="69"/>
      <x:c r="S57" s="69"/>
      <x:c r="T57" s="69"/>
      <x:c r="U57" s="69"/>
      <x:c r="V57" s="69"/>
      <x:c r="W57" s="69"/>
      <x:c r="X57" s="69"/>
      <x:c r="Y57" s="69"/>
      <x:c r="Z57" s="69"/>
      <x:c r="AA57" s="69"/>
      <x:c r="AB57" s="69"/>
      <x:c r="AC57" s="69"/>
    </x:row>
    <x:row r="58">
      <x:c r="A58" s="69"/>
      <x:c r="B58" s="69"/>
      <x:c r="C58" s="69"/>
      <x:c r="D58" s="69"/>
      <x:c r="E58" s="69"/>
      <x:c r="F58" s="69"/>
      <x:c r="G58" s="69"/>
      <x:c r="H58" s="69"/>
      <x:c r="I58" s="69"/>
      <x:c r="J58" s="69"/>
      <x:c r="K58" s="69"/>
      <x:c r="L58" s="69"/>
      <x:c r="M58" s="69"/>
      <x:c r="N58" s="69"/>
      <x:c r="O58" s="69"/>
      <x:c r="P58" s="69"/>
      <x:c r="Q58" s="69"/>
      <x:c r="R58" s="69"/>
      <x:c r="S58" s="69"/>
      <x:c r="T58" s="69"/>
      <x:c r="U58" s="69"/>
      <x:c r="V58" s="69"/>
      <x:c r="W58" s="69"/>
      <x:c r="X58" s="69"/>
      <x:c r="Y58" s="69"/>
      <x:c r="Z58" s="69"/>
      <x:c r="AA58" s="69"/>
      <x:c r="AB58" s="69"/>
      <x:c r="AC58" s="69"/>
    </x:row>
    <x:row r="59">
      <x:c r="A59" s="69"/>
      <x:c r="B59" s="69"/>
      <x:c r="C59" s="69"/>
      <x:c r="D59" s="69"/>
      <x:c r="E59" s="69"/>
      <x:c r="F59" s="69"/>
      <x:c r="G59" s="69"/>
      <x:c r="H59" s="69"/>
      <x:c r="I59" s="69"/>
      <x:c r="J59" s="69"/>
      <x:c r="K59" s="69"/>
      <x:c r="L59" s="69"/>
      <x:c r="M59" s="69"/>
      <x:c r="N59" s="69"/>
      <x:c r="O59" s="69"/>
      <x:c r="P59" s="69"/>
      <x:c r="Q59" s="69"/>
      <x:c r="R59" s="69"/>
      <x:c r="S59" s="69"/>
      <x:c r="T59" s="69"/>
      <x:c r="U59" s="69"/>
      <x:c r="V59" s="69"/>
      <x:c r="W59" s="69"/>
      <x:c r="X59" s="69"/>
      <x:c r="Y59" s="69"/>
      <x:c r="Z59" s="69"/>
      <x:c r="AA59" s="69"/>
      <x:c r="AB59" s="69"/>
      <x:c r="AC59" s="69"/>
    </x:row>
    <x:row r="60">
      <x:c r="A60" s="69"/>
      <x:c r="B60" s="69"/>
      <x:c r="C60" s="69"/>
      <x:c r="D60" s="69"/>
      <x:c r="E60" s="69"/>
      <x:c r="F60" s="69"/>
      <x:c r="G60" s="69"/>
      <x:c r="H60" s="69"/>
      <x:c r="I60" s="69"/>
      <x:c r="J60" s="69"/>
      <x:c r="K60" s="69"/>
      <x:c r="L60" s="69"/>
      <x:c r="M60" s="69"/>
      <x:c r="N60" s="69"/>
      <x:c r="O60" s="69"/>
      <x:c r="P60" s="69"/>
      <x:c r="Q60" s="69"/>
      <x:c r="R60" s="69"/>
      <x:c r="S60" s="69"/>
      <x:c r="T60" s="69"/>
      <x:c r="U60" s="69"/>
      <x:c r="V60" s="69"/>
      <x:c r="W60" s="69"/>
      <x:c r="X60" s="69"/>
      <x:c r="Y60" s="69"/>
      <x:c r="Z60" s="69"/>
      <x:c r="AA60" s="69"/>
      <x:c r="AB60" s="69"/>
      <x:c r="AC60" s="69"/>
    </x:row>
    <x:row r="61">
      <x:c r="A61" s="69"/>
      <x:c r="B61" s="69"/>
      <x:c r="C61" s="69"/>
      <x:c r="D61" s="69"/>
      <x:c r="E61" s="69"/>
      <x:c r="F61" s="69"/>
      <x:c r="G61" s="69"/>
      <x:c r="H61" s="69"/>
      <x:c r="I61" s="69"/>
      <x:c r="J61" s="69"/>
      <x:c r="K61" s="69"/>
      <x:c r="L61" s="69"/>
      <x:c r="M61" s="69"/>
      <x:c r="N61" s="69"/>
      <x:c r="O61" s="69"/>
      <x:c r="P61" s="69"/>
      <x:c r="Q61" s="69"/>
      <x:c r="R61" s="69"/>
      <x:c r="S61" s="69"/>
      <x:c r="T61" s="69"/>
      <x:c r="U61" s="69"/>
      <x:c r="V61" s="69"/>
      <x:c r="W61" s="69"/>
      <x:c r="X61" s="69"/>
      <x:c r="Y61" s="69"/>
      <x:c r="Z61" s="69"/>
      <x:c r="AA61" s="69"/>
      <x:c r="AB61" s="69"/>
      <x:c r="AC61" s="69"/>
    </x:row>
    <x:row r="62">
      <x:c r="A62" s="69"/>
      <x:c r="B62" s="69"/>
      <x:c r="C62" s="69"/>
      <x:c r="D62" s="69"/>
      <x:c r="E62" s="69"/>
      <x:c r="F62" s="69"/>
      <x:c r="G62" s="69"/>
      <x:c r="H62" s="69"/>
      <x:c r="I62" s="69"/>
      <x:c r="J62" s="69"/>
      <x:c r="K62" s="69"/>
      <x:c r="L62" s="69"/>
      <x:c r="M62" s="69"/>
      <x:c r="N62" s="69"/>
      <x:c r="O62" s="69"/>
      <x:c r="P62" s="69"/>
      <x:c r="Q62" s="69"/>
      <x:c r="R62" s="69"/>
      <x:c r="S62" s="69"/>
      <x:c r="T62" s="69"/>
      <x:c r="U62" s="69"/>
      <x:c r="V62" s="69"/>
      <x:c r="W62" s="69"/>
      <x:c r="X62" s="69"/>
      <x:c r="Y62" s="69"/>
      <x:c r="Z62" s="69"/>
      <x:c r="AA62" s="69"/>
      <x:c r="AB62" s="69"/>
      <x:c r="AC62" s="69"/>
    </x:row>
    <x:row r="63">
      <x:c r="A63" s="69"/>
      <x:c r="B63" s="69"/>
      <x:c r="C63" s="69"/>
      <x:c r="D63" s="69"/>
      <x:c r="E63" s="69"/>
      <x:c r="F63" s="69"/>
      <x:c r="G63" s="69"/>
      <x:c r="H63" s="69"/>
      <x:c r="I63" s="69"/>
      <x:c r="J63" s="69"/>
      <x:c r="K63" s="69"/>
      <x:c r="L63" s="69"/>
      <x:c r="M63" s="69"/>
      <x:c r="N63" s="69"/>
      <x:c r="O63" s="69"/>
      <x:c r="P63" s="69"/>
      <x:c r="Q63" s="69"/>
      <x:c r="R63" s="69"/>
      <x:c r="S63" s="69"/>
      <x:c r="T63" s="69"/>
      <x:c r="U63" s="69"/>
      <x:c r="V63" s="69"/>
      <x:c r="W63" s="69"/>
      <x:c r="X63" s="69"/>
      <x:c r="Y63" s="69"/>
      <x:c r="Z63" s="69"/>
      <x:c r="AA63" s="69"/>
      <x:c r="AB63" s="69"/>
      <x:c r="AC63" s="69"/>
    </x:row>
    <x:row r="64">
      <x:c r="A64" s="69"/>
      <x:c r="B64" s="69"/>
      <x:c r="C64" s="69"/>
      <x:c r="D64" s="69"/>
      <x:c r="E64" s="69"/>
      <x:c r="F64" s="69"/>
      <x:c r="G64" s="69"/>
      <x:c r="H64" s="69"/>
      <x:c r="I64" s="69"/>
      <x:c r="J64" s="69"/>
      <x:c r="K64" s="69"/>
      <x:c r="L64" s="69"/>
      <x:c r="M64" s="69"/>
      <x:c r="N64" s="69"/>
      <x:c r="O64" s="69"/>
      <x:c r="P64" s="69"/>
      <x:c r="Q64" s="69"/>
      <x:c r="R64" s="69"/>
      <x:c r="S64" s="69"/>
      <x:c r="T64" s="69"/>
      <x:c r="U64" s="69"/>
      <x:c r="V64" s="69"/>
      <x:c r="W64" s="69"/>
      <x:c r="X64" s="69"/>
      <x:c r="Y64" s="69"/>
      <x:c r="Z64" s="69"/>
      <x:c r="AA64" s="69"/>
      <x:c r="AB64" s="69"/>
      <x:c r="AC64" s="69"/>
    </x:row>
    <x:row r="65">
      <x:c r="A65" s="69"/>
      <x:c r="B65" s="69"/>
      <x:c r="C65" s="69"/>
      <x:c r="D65" s="69"/>
      <x:c r="E65" s="69"/>
      <x:c r="F65" s="69"/>
      <x:c r="G65" s="69"/>
      <x:c r="H65" s="69"/>
      <x:c r="I65" s="69"/>
      <x:c r="J65" s="69"/>
      <x:c r="K65" s="69"/>
      <x:c r="L65" s="69"/>
      <x:c r="M65" s="69"/>
      <x:c r="N65" s="69"/>
      <x:c r="O65" s="69"/>
      <x:c r="P65" s="69"/>
      <x:c r="Q65" s="69"/>
      <x:c r="R65" s="69"/>
      <x:c r="S65" s="69"/>
      <x:c r="T65" s="69"/>
      <x:c r="U65" s="69"/>
      <x:c r="V65" s="69"/>
      <x:c r="W65" s="69"/>
      <x:c r="X65" s="69"/>
      <x:c r="Y65" s="69"/>
      <x:c r="Z65" s="69"/>
      <x:c r="AA65" s="69"/>
      <x:c r="AB65" s="69"/>
      <x:c r="AC65" s="69"/>
    </x:row>
    <x:row r="66">
      <x:c r="A66" s="69"/>
      <x:c r="B66" s="69"/>
      <x:c r="C66" s="69"/>
      <x:c r="D66" s="69"/>
      <x:c r="E66" s="69"/>
      <x:c r="F66" s="69"/>
      <x:c r="G66" s="69"/>
      <x:c r="H66" s="69"/>
      <x:c r="I66" s="69"/>
      <x:c r="J66" s="69"/>
      <x:c r="K66" s="69"/>
      <x:c r="L66" s="69"/>
      <x:c r="M66" s="69"/>
      <x:c r="N66" s="69"/>
      <x:c r="O66" s="69"/>
      <x:c r="P66" s="69"/>
      <x:c r="Q66" s="69"/>
      <x:c r="R66" s="69"/>
      <x:c r="S66" s="69"/>
      <x:c r="T66" s="69"/>
      <x:c r="U66" s="69"/>
      <x:c r="V66" s="69"/>
      <x:c r="W66" s="69"/>
      <x:c r="X66" s="69"/>
      <x:c r="Y66" s="69"/>
      <x:c r="Z66" s="69"/>
      <x:c r="AA66" s="69"/>
      <x:c r="AB66" s="69"/>
      <x:c r="AC66" s="69"/>
    </x:row>
    <x:row r="67">
      <x:c r="A67" s="69"/>
      <x:c r="B67" s="69"/>
      <x:c r="C67" s="69"/>
      <x:c r="D67" s="69"/>
      <x:c r="E67" s="69"/>
      <x:c r="F67" s="69"/>
      <x:c r="G67" s="69"/>
      <x:c r="H67" s="69"/>
      <x:c r="I67" s="69"/>
      <x:c r="J67" s="69"/>
      <x:c r="K67" s="69"/>
      <x:c r="L67" s="69"/>
      <x:c r="M67" s="69"/>
      <x:c r="N67" s="69"/>
      <x:c r="O67" s="69"/>
      <x:c r="P67" s="69"/>
      <x:c r="Q67" s="69"/>
      <x:c r="R67" s="69"/>
      <x:c r="S67" s="69"/>
      <x:c r="T67" s="69"/>
      <x:c r="U67" s="69"/>
      <x:c r="V67" s="69"/>
      <x:c r="W67" s="69"/>
      <x:c r="X67" s="69"/>
      <x:c r="Y67" s="69"/>
      <x:c r="Z67" s="69"/>
      <x:c r="AA67" s="69"/>
      <x:c r="AB67" s="69"/>
      <x:c r="AC67" s="69"/>
    </x:row>
    <x:row r="68">
      <x:c r="A68" s="69"/>
      <x:c r="B68" s="69"/>
      <x:c r="C68" s="69"/>
      <x:c r="D68" s="69"/>
      <x:c r="E68" s="69"/>
      <x:c r="F68" s="69"/>
      <x:c r="G68" s="69"/>
      <x:c r="H68" s="69"/>
      <x:c r="I68" s="69"/>
      <x:c r="J68" s="69"/>
      <x:c r="K68" s="69"/>
      <x:c r="L68" s="69"/>
      <x:c r="M68" s="69"/>
      <x:c r="N68" s="69"/>
      <x:c r="O68" s="69"/>
      <x:c r="P68" s="69"/>
      <x:c r="Q68" s="69"/>
      <x:c r="R68" s="69"/>
      <x:c r="S68" s="69"/>
      <x:c r="T68" s="69"/>
      <x:c r="U68" s="69"/>
      <x:c r="V68" s="69"/>
      <x:c r="W68" s="69"/>
      <x:c r="X68" s="69"/>
      <x:c r="Y68" s="69"/>
      <x:c r="Z68" s="69"/>
      <x:c r="AA68" s="69"/>
      <x:c r="AB68" s="69"/>
      <x:c r="AC68" s="69"/>
    </x:row>
    <x:row r="69">
      <x:c r="A69" s="69"/>
      <x:c r="B69" s="69"/>
      <x:c r="C69" s="69"/>
      <x:c r="D69" s="69"/>
      <x:c r="E69" s="69"/>
      <x:c r="F69" s="69"/>
      <x:c r="G69" s="69"/>
      <x:c r="H69" s="69"/>
      <x:c r="I69" s="69"/>
      <x:c r="J69" s="69"/>
      <x:c r="K69" s="69"/>
      <x:c r="L69" s="69"/>
      <x:c r="M69" s="69"/>
      <x:c r="N69" s="69"/>
      <x:c r="O69" s="69"/>
      <x:c r="P69" s="69"/>
      <x:c r="Q69" s="69"/>
      <x:c r="R69" s="69"/>
      <x:c r="S69" s="69"/>
      <x:c r="T69" s="69"/>
      <x:c r="U69" s="69"/>
      <x:c r="V69" s="69"/>
      <x:c r="W69" s="69"/>
      <x:c r="X69" s="69"/>
      <x:c r="Y69" s="69"/>
      <x:c r="Z69" s="69"/>
      <x:c r="AA69" s="69"/>
      <x:c r="AB69" s="69"/>
      <x:c r="AC69" s="69"/>
    </x:row>
    <x:row r="70">
      <x:c r="A70" s="69"/>
      <x:c r="B70" s="69"/>
      <x:c r="C70" s="69"/>
      <x:c r="D70" s="69"/>
      <x:c r="E70" s="69"/>
      <x:c r="F70" s="69"/>
      <x:c r="G70" s="69"/>
      <x:c r="H70" s="69"/>
      <x:c r="I70" s="69"/>
      <x:c r="J70" s="69"/>
      <x:c r="K70" s="69"/>
      <x:c r="L70" s="69"/>
      <x:c r="M70" s="69"/>
      <x:c r="N70" s="69"/>
      <x:c r="O70" s="69"/>
      <x:c r="P70" s="69"/>
      <x:c r="Q70" s="69"/>
      <x:c r="R70" s="69"/>
      <x:c r="S70" s="69"/>
      <x:c r="T70" s="69"/>
      <x:c r="U70" s="69"/>
      <x:c r="V70" s="69"/>
      <x:c r="W70" s="69"/>
      <x:c r="X70" s="69"/>
      <x:c r="Y70" s="69"/>
      <x:c r="Z70" s="69"/>
      <x:c r="AA70" s="69"/>
      <x:c r="AB70" s="69"/>
      <x:c r="AC70" s="69"/>
    </x:row>
    <x:row r="71">
      <x:c r="A71" s="69"/>
      <x:c r="B71" s="69"/>
      <x:c r="C71" s="69"/>
      <x:c r="D71" s="69"/>
      <x:c r="E71" s="69"/>
      <x:c r="F71" s="69"/>
      <x:c r="G71" s="69"/>
      <x:c r="H71" s="69"/>
      <x:c r="I71" s="69"/>
      <x:c r="J71" s="69"/>
      <x:c r="K71" s="69"/>
      <x:c r="L71" s="69"/>
      <x:c r="M71" s="69"/>
      <x:c r="N71" s="69"/>
      <x:c r="O71" s="69"/>
      <x:c r="P71" s="69"/>
      <x:c r="Q71" s="69"/>
      <x:c r="R71" s="69"/>
      <x:c r="S71" s="69"/>
      <x:c r="T71" s="69"/>
      <x:c r="U71" s="69"/>
      <x:c r="V71" s="69"/>
      <x:c r="W71" s="69"/>
      <x:c r="X71" s="69"/>
      <x:c r="Y71" s="69"/>
      <x:c r="Z71" s="69"/>
      <x:c r="AA71" s="69"/>
      <x:c r="AB71" s="69"/>
      <x:c r="AC71" s="69"/>
    </x:row>
    <x:row r="72">
      <x:c r="A72" s="69"/>
      <x:c r="B72" s="69"/>
      <x:c r="C72" s="69"/>
      <x:c r="D72" s="69"/>
      <x:c r="E72" s="69"/>
      <x:c r="F72" s="69"/>
      <x:c r="G72" s="69"/>
      <x:c r="H72" s="69"/>
      <x:c r="I72" s="69"/>
      <x:c r="J72" s="69"/>
      <x:c r="K72" s="69"/>
      <x:c r="L72" s="69"/>
      <x:c r="M72" s="69"/>
      <x:c r="N72" s="69"/>
      <x:c r="O72" s="69"/>
      <x:c r="P72" s="69"/>
      <x:c r="Q72" s="69"/>
      <x:c r="R72" s="69"/>
      <x:c r="S72" s="69"/>
      <x:c r="T72" s="69"/>
      <x:c r="U72" s="69"/>
      <x:c r="V72" s="69"/>
      <x:c r="W72" s="69"/>
      <x:c r="X72" s="69"/>
      <x:c r="Y72" s="69"/>
      <x:c r="Z72" s="69"/>
      <x:c r="AA72" s="69"/>
      <x:c r="AB72" s="69"/>
      <x:c r="AC72" s="69"/>
    </x:row>
    <x:row r="73">
      <x:c r="A73" s="69"/>
      <x:c r="B73" s="69"/>
      <x:c r="C73" s="69"/>
      <x:c r="D73" s="69"/>
      <x:c r="E73" s="69"/>
      <x:c r="F73" s="69"/>
      <x:c r="G73" s="69"/>
      <x:c r="H73" s="69"/>
      <x:c r="I73" s="69"/>
      <x:c r="J73" s="69"/>
      <x:c r="K73" s="69"/>
      <x:c r="L73" s="69"/>
      <x:c r="M73" s="69"/>
      <x:c r="N73" s="69"/>
      <x:c r="O73" s="69"/>
      <x:c r="P73" s="69"/>
      <x:c r="Q73" s="69"/>
      <x:c r="R73" s="69"/>
      <x:c r="S73" s="69"/>
      <x:c r="T73" s="69"/>
      <x:c r="U73" s="69"/>
      <x:c r="V73" s="69"/>
      <x:c r="W73" s="69"/>
      <x:c r="X73" s="69"/>
      <x:c r="Y73" s="69"/>
      <x:c r="Z73" s="69"/>
      <x:c r="AA73" s="69"/>
      <x:c r="AB73" s="69"/>
      <x:c r="AC73" s="69"/>
    </x:row>
    <x:row r="74">
      <x:c r="A74" s="69"/>
      <x:c r="B74" s="69"/>
      <x:c r="C74" s="69"/>
      <x:c r="D74" s="69"/>
      <x:c r="E74" s="69"/>
      <x:c r="F74" s="69"/>
      <x:c r="G74" s="69"/>
      <x:c r="H74" s="69"/>
      <x:c r="I74" s="69"/>
      <x:c r="J74" s="69"/>
      <x:c r="K74" s="69"/>
      <x:c r="L74" s="69"/>
      <x:c r="M74" s="69"/>
      <x:c r="N74" s="69"/>
      <x:c r="O74" s="69"/>
      <x:c r="P74" s="69"/>
      <x:c r="Q74" s="69"/>
      <x:c r="R74" s="69"/>
      <x:c r="S74" s="69"/>
      <x:c r="T74" s="69"/>
      <x:c r="U74" s="69"/>
      <x:c r="V74" s="69"/>
      <x:c r="W74" s="69"/>
      <x:c r="X74" s="69"/>
      <x:c r="Y74" s="69"/>
      <x:c r="Z74" s="69"/>
      <x:c r="AA74" s="69"/>
      <x:c r="AB74" s="69"/>
      <x:c r="AC74" s="69"/>
    </x:row>
    <x:row r="75">
      <x:c r="A75" s="69"/>
      <x:c r="B75" s="69"/>
      <x:c r="C75" s="69"/>
      <x:c r="D75" s="69"/>
      <x:c r="E75" s="69"/>
      <x:c r="F75" s="69"/>
      <x:c r="G75" s="69"/>
      <x:c r="H75" s="69"/>
      <x:c r="I75" s="69"/>
      <x:c r="J75" s="69"/>
      <x:c r="K75" s="69"/>
      <x:c r="L75" s="69"/>
      <x:c r="M75" s="69"/>
      <x:c r="N75" s="69"/>
      <x:c r="O75" s="69"/>
      <x:c r="P75" s="69"/>
      <x:c r="Q75" s="69"/>
      <x:c r="R75" s="69"/>
      <x:c r="S75" s="69"/>
      <x:c r="T75" s="69"/>
      <x:c r="U75" s="69"/>
      <x:c r="V75" s="69"/>
      <x:c r="W75" s="69"/>
      <x:c r="X75" s="69"/>
      <x:c r="Y75" s="69"/>
      <x:c r="Z75" s="69"/>
      <x:c r="AA75" s="69"/>
      <x:c r="AB75" s="69"/>
      <x:c r="AC75" s="69"/>
    </x:row>
    <x:row r="76">
      <x:c r="A76" s="69"/>
      <x:c r="B76" s="69"/>
      <x:c r="C76" s="69"/>
      <x:c r="D76" s="69"/>
      <x:c r="E76" s="69"/>
      <x:c r="F76" s="69"/>
      <x:c r="G76" s="69"/>
      <x:c r="H76" s="69"/>
      <x:c r="I76" s="69"/>
      <x:c r="J76" s="69"/>
      <x:c r="K76" s="69"/>
      <x:c r="L76" s="69"/>
      <x:c r="M76" s="69"/>
      <x:c r="N76" s="69"/>
      <x:c r="O76" s="69"/>
      <x:c r="P76" s="69"/>
      <x:c r="Q76" s="69"/>
      <x:c r="R76" s="69"/>
      <x:c r="S76" s="69"/>
      <x:c r="T76" s="69"/>
      <x:c r="U76" s="69"/>
      <x:c r="V76" s="69"/>
      <x:c r="W76" s="69"/>
      <x:c r="X76" s="69"/>
      <x:c r="Y76" s="69"/>
      <x:c r="Z76" s="69"/>
      <x:c r="AA76" s="69"/>
      <x:c r="AB76" s="69"/>
      <x:c r="AC76" s="69"/>
    </x:row>
    <x:row r="77">
      <x:c r="A77" s="69"/>
      <x:c r="B77" s="69"/>
      <x:c r="C77" s="69"/>
      <x:c r="D77" s="69"/>
      <x:c r="E77" s="69"/>
      <x:c r="F77" s="69"/>
      <x:c r="G77" s="69"/>
      <x:c r="H77" s="69"/>
      <x:c r="I77" s="69"/>
      <x:c r="J77" s="69"/>
      <x:c r="K77" s="69"/>
      <x:c r="L77" s="69"/>
      <x:c r="M77" s="69"/>
      <x:c r="N77" s="69"/>
      <x:c r="O77" s="69"/>
      <x:c r="P77" s="69"/>
      <x:c r="Q77" s="69"/>
      <x:c r="R77" s="69"/>
      <x:c r="S77" s="69"/>
      <x:c r="T77" s="69"/>
      <x:c r="U77" s="69"/>
      <x:c r="V77" s="69"/>
      <x:c r="W77" s="69"/>
      <x:c r="X77" s="69"/>
      <x:c r="Y77" s="69"/>
      <x:c r="Z77" s="69"/>
      <x:c r="AA77" s="69"/>
      <x:c r="AB77" s="69"/>
      <x:c r="AC77" s="69"/>
    </x:row>
    <x:row r="78">
      <x:c r="A78" s="69"/>
      <x:c r="B78" s="69"/>
      <x:c r="C78" s="69"/>
      <x:c r="D78" s="69"/>
      <x:c r="E78" s="69"/>
      <x:c r="F78" s="69"/>
      <x:c r="G78" s="69"/>
      <x:c r="H78" s="69"/>
      <x:c r="I78" s="69"/>
      <x:c r="J78" s="69"/>
      <x:c r="K78" s="69"/>
      <x:c r="L78" s="69"/>
      <x:c r="M78" s="69"/>
      <x:c r="N78" s="69"/>
      <x:c r="O78" s="69"/>
      <x:c r="P78" s="69"/>
      <x:c r="Q78" s="69"/>
      <x:c r="R78" s="69"/>
      <x:c r="S78" s="69"/>
      <x:c r="T78" s="69"/>
      <x:c r="U78" s="69"/>
      <x:c r="V78" s="69"/>
      <x:c r="W78" s="69"/>
      <x:c r="X78" s="69"/>
      <x:c r="Y78" s="69"/>
      <x:c r="Z78" s="69"/>
      <x:c r="AA78" s="69"/>
      <x:c r="AB78" s="69"/>
      <x:c r="AC78" s="69"/>
    </x:row>
    <x:row r="79">
      <x:c r="A79" s="69"/>
      <x:c r="B79" s="69"/>
      <x:c r="C79" s="69"/>
      <x:c r="D79" s="69"/>
      <x:c r="E79" s="69"/>
      <x:c r="F79" s="69"/>
      <x:c r="G79" s="69"/>
      <x:c r="H79" s="69"/>
      <x:c r="I79" s="69"/>
      <x:c r="J79" s="69"/>
      <x:c r="K79" s="69"/>
      <x:c r="L79" s="69"/>
      <x:c r="M79" s="69"/>
      <x:c r="N79" s="69"/>
      <x:c r="O79" s="69"/>
      <x:c r="P79" s="69"/>
      <x:c r="Q79" s="69"/>
      <x:c r="R79" s="69"/>
      <x:c r="S79" s="69"/>
      <x:c r="T79" s="69"/>
      <x:c r="U79" s="69"/>
      <x:c r="V79" s="69"/>
      <x:c r="W79" s="69"/>
      <x:c r="X79" s="69"/>
      <x:c r="Y79" s="69"/>
      <x:c r="Z79" s="69"/>
      <x:c r="AA79" s="69"/>
      <x:c r="AB79" s="69"/>
      <x:c r="AC79" s="69"/>
    </x:row>
    <x:row r="80">
      <x:c r="A80" s="69"/>
      <x:c r="B80" s="69"/>
      <x:c r="C80" s="69"/>
      <x:c r="D80" s="69"/>
      <x:c r="E80" s="69"/>
      <x:c r="F80" s="69"/>
      <x:c r="G80" s="69"/>
      <x:c r="H80" s="69"/>
      <x:c r="I80" s="69"/>
      <x:c r="J80" s="69"/>
      <x:c r="K80" s="69"/>
      <x:c r="L80" s="69"/>
      <x:c r="M80" s="69"/>
      <x:c r="N80" s="69"/>
      <x:c r="O80" s="69"/>
      <x:c r="P80" s="69"/>
      <x:c r="Q80" s="69"/>
      <x:c r="R80" s="69"/>
      <x:c r="S80" s="69"/>
      <x:c r="T80" s="69"/>
      <x:c r="U80" s="69"/>
      <x:c r="V80" s="69"/>
      <x:c r="W80" s="69"/>
      <x:c r="X80" s="69"/>
      <x:c r="Y80" s="69"/>
      <x:c r="Z80" s="69"/>
      <x:c r="AA80" s="69"/>
      <x:c r="AB80" s="69"/>
      <x:c r="AC80" s="69"/>
    </x:row>
    <x:row r="81">
      <x:c r="A81" s="69"/>
      <x:c r="B81" s="69"/>
      <x:c r="C81" s="69"/>
      <x:c r="D81" s="69"/>
      <x:c r="E81" s="69"/>
      <x:c r="F81" s="69"/>
      <x:c r="G81" s="69"/>
      <x:c r="H81" s="69"/>
      <x:c r="I81" s="69"/>
      <x:c r="J81" s="69"/>
      <x:c r="K81" s="69"/>
      <x:c r="L81" s="69"/>
      <x:c r="M81" s="69"/>
      <x:c r="N81" s="69"/>
      <x:c r="O81" s="69"/>
      <x:c r="P81" s="69"/>
      <x:c r="Q81" s="69"/>
      <x:c r="R81" s="69"/>
      <x:c r="S81" s="69"/>
      <x:c r="T81" s="69"/>
      <x:c r="U81" s="69"/>
      <x:c r="V81" s="69"/>
      <x:c r="W81" s="69"/>
      <x:c r="X81" s="69"/>
      <x:c r="Y81" s="69"/>
      <x:c r="Z81" s="69"/>
      <x:c r="AA81" s="69"/>
      <x:c r="AB81" s="69"/>
      <x:c r="AC81" s="69"/>
    </x:row>
    <x:row r="82">
      <x:c r="A82" s="69"/>
      <x:c r="B82" s="69"/>
      <x:c r="C82" s="69"/>
      <x:c r="D82" s="69"/>
      <x:c r="E82" s="69"/>
      <x:c r="F82" s="69"/>
      <x:c r="G82" s="69"/>
      <x:c r="H82" s="69"/>
      <x:c r="I82" s="69"/>
      <x:c r="J82" s="69"/>
      <x:c r="K82" s="69"/>
      <x:c r="L82" s="69"/>
      <x:c r="M82" s="69"/>
      <x:c r="N82" s="69"/>
      <x:c r="O82" s="69"/>
      <x:c r="P82" s="69"/>
      <x:c r="Q82" s="69"/>
      <x:c r="R82" s="69"/>
      <x:c r="S82" s="69"/>
      <x:c r="T82" s="69"/>
      <x:c r="U82" s="69"/>
      <x:c r="V82" s="69"/>
      <x:c r="W82" s="69"/>
      <x:c r="X82" s="69"/>
      <x:c r="Y82" s="69"/>
      <x:c r="Z82" s="69"/>
      <x:c r="AA82" s="69"/>
      <x:c r="AB82" s="69"/>
      <x:c r="AC82" s="69"/>
    </x:row>
    <x:row r="83">
      <x:c r="A83" s="69"/>
      <x:c r="B83" s="69"/>
      <x:c r="C83" s="69"/>
      <x:c r="D83" s="69"/>
      <x:c r="E83" s="69"/>
      <x:c r="F83" s="69"/>
      <x:c r="G83" s="69"/>
      <x:c r="H83" s="69"/>
      <x:c r="I83" s="69"/>
      <x:c r="J83" s="69"/>
      <x:c r="K83" s="69"/>
      <x:c r="L83" s="69"/>
      <x:c r="M83" s="69"/>
      <x:c r="N83" s="69"/>
      <x:c r="O83" s="69"/>
      <x:c r="P83" s="69"/>
      <x:c r="Q83" s="69"/>
      <x:c r="R83" s="69"/>
      <x:c r="S83" s="69"/>
      <x:c r="T83" s="69"/>
      <x:c r="U83" s="69"/>
      <x:c r="V83" s="69"/>
      <x:c r="W83" s="69"/>
      <x:c r="X83" s="69"/>
      <x:c r="Y83" s="69"/>
      <x:c r="Z83" s="69"/>
      <x:c r="AA83" s="69"/>
      <x:c r="AB83" s="69"/>
      <x:c r="AC83" s="69"/>
    </x:row>
    <x:row r="84">
      <x:c r="A84" s="69"/>
      <x:c r="B84" s="69"/>
      <x:c r="C84" s="69"/>
      <x:c r="D84" s="69"/>
      <x:c r="E84" s="69"/>
      <x:c r="F84" s="69"/>
      <x:c r="G84" s="69"/>
      <x:c r="H84" s="69"/>
      <x:c r="I84" s="69"/>
      <x:c r="J84" s="69"/>
      <x:c r="K84" s="69"/>
      <x:c r="L84" s="69"/>
      <x:c r="M84" s="69"/>
      <x:c r="N84" s="69"/>
      <x:c r="O84" s="69"/>
      <x:c r="P84" s="69"/>
      <x:c r="Q84" s="69"/>
      <x:c r="R84" s="69"/>
      <x:c r="S84" s="69"/>
      <x:c r="T84" s="69"/>
      <x:c r="U84" s="69"/>
      <x:c r="V84" s="69"/>
      <x:c r="W84" s="69"/>
      <x:c r="X84" s="69"/>
      <x:c r="Y84" s="69"/>
      <x:c r="Z84" s="69"/>
      <x:c r="AA84" s="69"/>
      <x:c r="AB84" s="69"/>
      <x:c r="AC84" s="69"/>
    </x:row>
    <x:row r="85">
      <x:c r="A85" s="69"/>
      <x:c r="B85" s="69"/>
      <x:c r="C85" s="69"/>
      <x:c r="D85" s="69"/>
      <x:c r="E85" s="69"/>
      <x:c r="F85" s="69"/>
      <x:c r="G85" s="69"/>
      <x:c r="H85" s="69"/>
      <x:c r="I85" s="69"/>
      <x:c r="J85" s="69"/>
      <x:c r="K85" s="69"/>
      <x:c r="L85" s="69"/>
      <x:c r="M85" s="69"/>
      <x:c r="N85" s="69"/>
      <x:c r="O85" s="69"/>
      <x:c r="P85" s="69"/>
      <x:c r="Q85" s="69"/>
      <x:c r="R85" s="69"/>
      <x:c r="S85" s="69"/>
      <x:c r="T85" s="69"/>
      <x:c r="U85" s="69"/>
      <x:c r="V85" s="69"/>
      <x:c r="W85" s="69"/>
      <x:c r="X85" s="69"/>
      <x:c r="Y85" s="69"/>
      <x:c r="Z85" s="69"/>
      <x:c r="AA85" s="69"/>
      <x:c r="AB85" s="69"/>
      <x:c r="AC85" s="69"/>
    </x:row>
    <x:row r="86">
      <x:c r="A86" s="69"/>
      <x:c r="B86" s="69"/>
      <x:c r="C86" s="69"/>
      <x:c r="D86" s="69"/>
      <x:c r="E86" s="69"/>
      <x:c r="F86" s="69"/>
      <x:c r="G86" s="69"/>
      <x:c r="H86" s="69"/>
      <x:c r="I86" s="69"/>
      <x:c r="J86" s="69"/>
      <x:c r="K86" s="69"/>
      <x:c r="L86" s="69"/>
      <x:c r="M86" s="69"/>
      <x:c r="N86" s="69"/>
      <x:c r="O86" s="69"/>
      <x:c r="P86" s="69"/>
      <x:c r="Q86" s="69"/>
      <x:c r="R86" s="69"/>
      <x:c r="S86" s="69"/>
      <x:c r="T86" s="69"/>
      <x:c r="U86" s="69"/>
      <x:c r="V86" s="69"/>
      <x:c r="W86" s="69"/>
      <x:c r="X86" s="69"/>
      <x:c r="Y86" s="69"/>
      <x:c r="Z86" s="69"/>
      <x:c r="AA86" s="69"/>
      <x:c r="AB86" s="69"/>
      <x:c r="AC86" s="69"/>
    </x:row>
    <x:row r="87">
      <x:c r="A87" s="69"/>
      <x:c r="B87" s="69"/>
      <x:c r="C87" s="69"/>
      <x:c r="D87" s="69"/>
      <x:c r="E87" s="69"/>
      <x:c r="F87" s="69"/>
      <x:c r="G87" s="69"/>
      <x:c r="H87" s="69"/>
      <x:c r="I87" s="69"/>
      <x:c r="J87" s="69"/>
      <x:c r="K87" s="69"/>
      <x:c r="L87" s="69"/>
      <x:c r="M87" s="69"/>
      <x:c r="N87" s="69"/>
      <x:c r="O87" s="69"/>
      <x:c r="P87" s="69"/>
      <x:c r="Q87" s="69"/>
      <x:c r="R87" s="69"/>
      <x:c r="S87" s="69"/>
      <x:c r="T87" s="69"/>
      <x:c r="U87" s="69"/>
      <x:c r="V87" s="69"/>
      <x:c r="W87" s="69"/>
      <x:c r="X87" s="69"/>
      <x:c r="Y87" s="69"/>
      <x:c r="Z87" s="69"/>
      <x:c r="AA87" s="69"/>
      <x:c r="AB87" s="69"/>
      <x:c r="AC87" s="69"/>
    </x:row>
    <x:row r="88">
      <x:c r="A88" s="69"/>
      <x:c r="B88" s="69"/>
      <x:c r="C88" s="69"/>
      <x:c r="D88" s="69"/>
      <x:c r="E88" s="69"/>
      <x:c r="F88" s="69"/>
      <x:c r="G88" s="69"/>
      <x:c r="H88" s="69"/>
      <x:c r="I88" s="69"/>
      <x:c r="J88" s="69"/>
      <x:c r="K88" s="69"/>
      <x:c r="L88" s="69"/>
      <x:c r="M88" s="69"/>
      <x:c r="N88" s="69"/>
      <x:c r="O88" s="69"/>
      <x:c r="P88" s="69"/>
      <x:c r="Q88" s="69"/>
      <x:c r="R88" s="69"/>
      <x:c r="S88" s="69"/>
      <x:c r="T88" s="69"/>
      <x:c r="U88" s="69"/>
      <x:c r="V88" s="69"/>
      <x:c r="W88" s="69"/>
      <x:c r="X88" s="69"/>
      <x:c r="Y88" s="69"/>
      <x:c r="Z88" s="69"/>
      <x:c r="AA88" s="69"/>
      <x:c r="AB88" s="69"/>
      <x:c r="AC88" s="69"/>
    </x:row>
    <x:row r="89">
      <x:c r="A89" s="69"/>
      <x:c r="B89" s="69"/>
      <x:c r="C89" s="69"/>
      <x:c r="D89" s="69"/>
      <x:c r="E89" s="69"/>
      <x:c r="F89" s="69"/>
      <x:c r="G89" s="69"/>
      <x:c r="H89" s="69"/>
      <x:c r="I89" s="69"/>
      <x:c r="J89" s="69"/>
      <x:c r="K89" s="69"/>
      <x:c r="L89" s="69"/>
      <x:c r="M89" s="69"/>
      <x:c r="N89" s="69"/>
      <x:c r="O89" s="69"/>
      <x:c r="P89" s="69"/>
      <x:c r="Q89" s="69"/>
      <x:c r="R89" s="69"/>
      <x:c r="S89" s="69"/>
      <x:c r="T89" s="69"/>
      <x:c r="U89" s="69"/>
      <x:c r="V89" s="69"/>
      <x:c r="W89" s="69"/>
      <x:c r="X89" s="69"/>
      <x:c r="Y89" s="69"/>
      <x:c r="Z89" s="69"/>
      <x:c r="AA89" s="69"/>
      <x:c r="AB89" s="69"/>
      <x:c r="AC89" s="69"/>
    </x:row>
    <x:row r="90">
      <x:c r="A90" s="69"/>
      <x:c r="B90" s="69"/>
      <x:c r="C90" s="69"/>
      <x:c r="D90" s="69"/>
      <x:c r="E90" s="69"/>
      <x:c r="F90" s="69"/>
      <x:c r="G90" s="69"/>
      <x:c r="H90" s="69"/>
      <x:c r="I90" s="69"/>
      <x:c r="J90" s="69"/>
      <x:c r="K90" s="69"/>
      <x:c r="L90" s="69"/>
      <x:c r="M90" s="69"/>
      <x:c r="N90" s="69"/>
      <x:c r="O90" s="69"/>
      <x:c r="P90" s="69"/>
      <x:c r="Q90" s="69"/>
      <x:c r="R90" s="69"/>
      <x:c r="S90" s="69"/>
      <x:c r="T90" s="69"/>
      <x:c r="U90" s="69"/>
      <x:c r="V90" s="69"/>
      <x:c r="W90" s="69"/>
      <x:c r="X90" s="69"/>
      <x:c r="Y90" s="69"/>
      <x:c r="Z90" s="69"/>
      <x:c r="AA90" s="69"/>
      <x:c r="AB90" s="69"/>
      <x:c r="AC90" s="69"/>
    </x:row>
    <x:row r="91">
      <x:c r="A91" s="69"/>
      <x:c r="B91" s="69"/>
      <x:c r="C91" s="69"/>
      <x:c r="D91" s="69"/>
      <x:c r="E91" s="69"/>
      <x:c r="F91" s="69"/>
      <x:c r="G91" s="69"/>
      <x:c r="H91" s="69"/>
      <x:c r="I91" s="69"/>
      <x:c r="J91" s="69"/>
      <x:c r="K91" s="69"/>
      <x:c r="L91" s="69"/>
      <x:c r="M91" s="69"/>
      <x:c r="N91" s="69"/>
      <x:c r="O91" s="69"/>
      <x:c r="P91" s="69"/>
      <x:c r="Q91" s="69"/>
      <x:c r="R91" s="69"/>
      <x:c r="S91" s="69"/>
      <x:c r="T91" s="69"/>
      <x:c r="U91" s="69"/>
      <x:c r="V91" s="69"/>
      <x:c r="W91" s="69"/>
      <x:c r="X91" s="69"/>
      <x:c r="Y91" s="69"/>
      <x:c r="Z91" s="69"/>
      <x:c r="AA91" s="69"/>
      <x:c r="AB91" s="69"/>
      <x:c r="AC91" s="69"/>
    </x:row>
    <x:row r="92">
      <x:c r="A92" s="69"/>
      <x:c r="B92" s="69"/>
      <x:c r="C92" s="69"/>
      <x:c r="D92" s="69"/>
      <x:c r="E92" s="69"/>
      <x:c r="F92" s="69"/>
      <x:c r="G92" s="69"/>
      <x:c r="H92" s="69"/>
      <x:c r="I92" s="69"/>
      <x:c r="J92" s="69"/>
      <x:c r="K92" s="69"/>
      <x:c r="L92" s="69"/>
      <x:c r="M92" s="69"/>
      <x:c r="N92" s="69"/>
      <x:c r="O92" s="69"/>
      <x:c r="P92" s="69"/>
      <x:c r="Q92" s="69"/>
      <x:c r="R92" s="69"/>
      <x:c r="S92" s="69"/>
      <x:c r="T92" s="69"/>
      <x:c r="U92" s="69"/>
      <x:c r="V92" s="69"/>
      <x:c r="W92" s="69"/>
      <x:c r="X92" s="69"/>
      <x:c r="Y92" s="69"/>
      <x:c r="Z92" s="69"/>
      <x:c r="AA92" s="69"/>
      <x:c r="AB92" s="69"/>
      <x:c r="AC92" s="69"/>
    </x:row>
    <x:row r="93">
      <x:c r="A93" s="69"/>
      <x:c r="B93" s="69"/>
      <x:c r="C93" s="69"/>
      <x:c r="D93" s="69"/>
      <x:c r="E93" s="69"/>
      <x:c r="F93" s="69"/>
      <x:c r="G93" s="69"/>
      <x:c r="H93" s="69"/>
      <x:c r="I93" s="69"/>
      <x:c r="J93" s="69"/>
      <x:c r="K93" s="69"/>
      <x:c r="L93" s="69"/>
      <x:c r="M93" s="69"/>
      <x:c r="N93" s="69"/>
      <x:c r="O93" s="69"/>
      <x:c r="P93" s="69"/>
      <x:c r="Q93" s="69"/>
      <x:c r="R93" s="69"/>
      <x:c r="S93" s="69"/>
      <x:c r="T93" s="69"/>
      <x:c r="U93" s="69"/>
      <x:c r="V93" s="69"/>
      <x:c r="W93" s="69"/>
      <x:c r="X93" s="69"/>
      <x:c r="Y93" s="69"/>
      <x:c r="Z93" s="69"/>
      <x:c r="AA93" s="69"/>
      <x:c r="AB93" s="69"/>
      <x:c r="AC93" s="69"/>
    </x:row>
    <x:row r="94">
      <x:c r="A94" s="69"/>
      <x:c r="B94" s="69"/>
      <x:c r="C94" s="69"/>
      <x:c r="D94" s="69"/>
      <x:c r="E94" s="69"/>
      <x:c r="F94" s="69"/>
      <x:c r="G94" s="69"/>
      <x:c r="H94" s="69"/>
      <x:c r="I94" s="69"/>
      <x:c r="J94" s="69"/>
      <x:c r="K94" s="69"/>
      <x:c r="L94" s="69"/>
      <x:c r="M94" s="69"/>
      <x:c r="N94" s="69"/>
      <x:c r="O94" s="69"/>
      <x:c r="P94" s="69"/>
      <x:c r="Q94" s="69"/>
      <x:c r="R94" s="69"/>
      <x:c r="S94" s="69"/>
      <x:c r="T94" s="69"/>
      <x:c r="U94" s="69"/>
      <x:c r="V94" s="69"/>
      <x:c r="W94" s="69"/>
      <x:c r="X94" s="69"/>
      <x:c r="Y94" s="69"/>
      <x:c r="Z94" s="69"/>
      <x:c r="AA94" s="69"/>
      <x:c r="AB94" s="69"/>
      <x:c r="AC94" s="69"/>
    </x:row>
    <x:row r="95">
      <x:c r="A95" s="69"/>
      <x:c r="B95" s="69"/>
      <x:c r="C95" s="69"/>
      <x:c r="D95" s="69"/>
      <x:c r="E95" s="69"/>
      <x:c r="F95" s="69"/>
      <x:c r="G95" s="69"/>
      <x:c r="H95" s="69"/>
      <x:c r="I95" s="69"/>
      <x:c r="J95" s="69"/>
      <x:c r="K95" s="69"/>
      <x:c r="L95" s="69"/>
      <x:c r="M95" s="69"/>
      <x:c r="N95" s="69"/>
      <x:c r="O95" s="69"/>
      <x:c r="P95" s="69"/>
      <x:c r="Q95" s="69"/>
      <x:c r="R95" s="69"/>
      <x:c r="S95" s="69"/>
      <x:c r="T95" s="69"/>
      <x:c r="U95" s="69"/>
      <x:c r="V95" s="69"/>
      <x:c r="W95" s="69"/>
      <x:c r="X95" s="69"/>
      <x:c r="Y95" s="69"/>
      <x:c r="Z95" s="69"/>
      <x:c r="AA95" s="69"/>
      <x:c r="AB95" s="69"/>
      <x:c r="AC95" s="69"/>
    </x:row>
    <x:row r="96">
      <x:c r="A96" s="69"/>
      <x:c r="B96" s="69"/>
      <x:c r="C96" s="69"/>
      <x:c r="D96" s="69"/>
      <x:c r="E96" s="69"/>
      <x:c r="F96" s="69"/>
      <x:c r="G96" s="69"/>
      <x:c r="H96" s="69"/>
      <x:c r="I96" s="69"/>
      <x:c r="J96" s="69"/>
      <x:c r="K96" s="69"/>
      <x:c r="L96" s="69"/>
      <x:c r="M96" s="69"/>
      <x:c r="N96" s="69"/>
      <x:c r="O96" s="69"/>
      <x:c r="P96" s="69"/>
      <x:c r="Q96" s="69"/>
      <x:c r="R96" s="69"/>
      <x:c r="S96" s="69"/>
      <x:c r="T96" s="69"/>
      <x:c r="U96" s="69"/>
      <x:c r="V96" s="69"/>
      <x:c r="W96" s="69"/>
      <x:c r="X96" s="69"/>
      <x:c r="Y96" s="69"/>
      <x:c r="Z96" s="69"/>
      <x:c r="AA96" s="69"/>
      <x:c r="AB96" s="69"/>
      <x:c r="AC96" s="69"/>
    </x:row>
    <x:row r="97">
      <x:c r="A97" s="69"/>
      <x:c r="B97" s="69"/>
      <x:c r="C97" s="69"/>
      <x:c r="D97" s="69"/>
      <x:c r="E97" s="69"/>
      <x:c r="F97" s="69"/>
      <x:c r="G97" s="69"/>
      <x:c r="H97" s="69"/>
      <x:c r="I97" s="69"/>
      <x:c r="J97" s="69"/>
      <x:c r="K97" s="69"/>
      <x:c r="L97" s="69"/>
      <x:c r="M97" s="69"/>
      <x:c r="N97" s="69"/>
      <x:c r="O97" s="69"/>
      <x:c r="P97" s="69"/>
      <x:c r="Q97" s="69"/>
      <x:c r="R97" s="69"/>
      <x:c r="S97" s="69"/>
      <x:c r="T97" s="69"/>
      <x:c r="U97" s="69"/>
      <x:c r="V97" s="69"/>
      <x:c r="W97" s="69"/>
      <x:c r="X97" s="69"/>
      <x:c r="Y97" s="69"/>
      <x:c r="Z97" s="69"/>
      <x:c r="AA97" s="69"/>
      <x:c r="AB97" s="69"/>
      <x:c r="AC97" s="69"/>
    </x:row>
    <x:row r="98">
      <x:c r="A98" s="69"/>
      <x:c r="B98" s="69"/>
      <x:c r="C98" s="69"/>
      <x:c r="D98" s="69"/>
      <x:c r="E98" s="69"/>
      <x:c r="F98" s="69"/>
      <x:c r="G98" s="69"/>
      <x:c r="H98" s="69"/>
      <x:c r="I98" s="69"/>
      <x:c r="J98" s="69"/>
      <x:c r="K98" s="69"/>
      <x:c r="L98" s="69"/>
      <x:c r="M98" s="69"/>
      <x:c r="N98" s="69"/>
      <x:c r="O98" s="69"/>
      <x:c r="P98" s="69"/>
      <x:c r="Q98" s="69"/>
      <x:c r="R98" s="69"/>
      <x:c r="S98" s="69"/>
      <x:c r="T98" s="69"/>
      <x:c r="U98" s="69"/>
      <x:c r="V98" s="69"/>
      <x:c r="W98" s="69"/>
      <x:c r="X98" s="69"/>
      <x:c r="Y98" s="69"/>
      <x:c r="Z98" s="69"/>
      <x:c r="AA98" s="69"/>
      <x:c r="AB98" s="69"/>
      <x:c r="AC98" s="69"/>
    </x:row>
    <x:row r="99">
      <x:c r="A99" s="69"/>
      <x:c r="B99" s="69"/>
      <x:c r="C99" s="69"/>
      <x:c r="D99" s="69"/>
      <x:c r="E99" s="69"/>
      <x:c r="F99" s="69"/>
      <x:c r="G99" s="69"/>
      <x:c r="H99" s="69"/>
      <x:c r="I99" s="69"/>
      <x:c r="J99" s="69"/>
      <x:c r="K99" s="69"/>
      <x:c r="L99" s="69"/>
      <x:c r="M99" s="69"/>
      <x:c r="N99" s="69"/>
      <x:c r="O99" s="69"/>
      <x:c r="P99" s="69"/>
      <x:c r="Q99" s="69"/>
      <x:c r="R99" s="69"/>
      <x:c r="S99" s="69"/>
      <x:c r="T99" s="69"/>
      <x:c r="U99" s="69"/>
      <x:c r="V99" s="69"/>
      <x:c r="W99" s="69"/>
      <x:c r="X99" s="69"/>
      <x:c r="Y99" s="69"/>
      <x:c r="Z99" s="69"/>
      <x:c r="AA99" s="69"/>
      <x:c r="AB99" s="69"/>
      <x:c r="AC99" s="69"/>
    </x:row>
    <x:row r="100">
      <x:c r="A100" s="69"/>
      <x:c r="B100" s="69"/>
      <x:c r="C100" s="69"/>
      <x:c r="D100" s="69"/>
      <x:c r="E100" s="69"/>
      <x:c r="F100" s="69"/>
      <x:c r="G100" s="69"/>
      <x:c r="H100" s="69"/>
      <x:c r="I100" s="69"/>
      <x:c r="J100" s="69"/>
      <x:c r="K100" s="69"/>
      <x:c r="L100" s="69"/>
      <x:c r="M100" s="69"/>
      <x:c r="N100" s="69"/>
      <x:c r="O100" s="69"/>
      <x:c r="P100" s="69"/>
      <x:c r="Q100" s="69"/>
      <x:c r="R100" s="69"/>
      <x:c r="S100" s="69"/>
      <x:c r="T100" s="69"/>
      <x:c r="U100" s="69"/>
      <x:c r="V100" s="69"/>
      <x:c r="W100" s="69"/>
      <x:c r="X100" s="69"/>
      <x:c r="Y100" s="69"/>
      <x:c r="Z100" s="69"/>
      <x:c r="AA100" s="69"/>
      <x:c r="AB100" s="69"/>
      <x:c r="AC100" s="69"/>
    </x:row>
    <x:row r="101">
      <x:c r="A101" s="69"/>
      <x:c r="B101" s="69"/>
      <x:c r="C101" s="69"/>
      <x:c r="D101" s="69"/>
      <x:c r="E101" s="69"/>
      <x:c r="F101" s="69"/>
      <x:c r="G101" s="69"/>
      <x:c r="H101" s="69"/>
      <x:c r="I101" s="69"/>
      <x:c r="J101" s="69"/>
      <x:c r="K101" s="69"/>
      <x:c r="L101" s="69"/>
      <x:c r="M101" s="69"/>
      <x:c r="N101" s="69"/>
      <x:c r="O101" s="69"/>
      <x:c r="P101" s="69"/>
      <x:c r="Q101" s="69"/>
      <x:c r="R101" s="69"/>
      <x:c r="S101" s="69"/>
      <x:c r="T101" s="69"/>
      <x:c r="U101" s="69"/>
      <x:c r="V101" s="69"/>
      <x:c r="W101" s="69"/>
      <x:c r="X101" s="69"/>
      <x:c r="Y101" s="69"/>
      <x:c r="Z101" s="69"/>
      <x:c r="AA101" s="69"/>
      <x:c r="AB101" s="69"/>
      <x:c r="AC101" s="69"/>
    </x:row>
    <x:row r="102">
      <x:c r="A102" s="69"/>
      <x:c r="B102" s="69"/>
      <x:c r="C102" s="69"/>
      <x:c r="D102" s="69"/>
      <x:c r="E102" s="69"/>
      <x:c r="F102" s="69"/>
      <x:c r="G102" s="69"/>
      <x:c r="H102" s="69"/>
      <x:c r="I102" s="69"/>
      <x:c r="J102" s="69"/>
      <x:c r="K102" s="69"/>
      <x:c r="L102" s="69"/>
      <x:c r="M102" s="69"/>
      <x:c r="N102" s="69"/>
      <x:c r="O102" s="69"/>
      <x:c r="P102" s="69"/>
      <x:c r="Q102" s="69"/>
      <x:c r="R102" s="69"/>
      <x:c r="S102" s="69"/>
      <x:c r="T102" s="69"/>
      <x:c r="U102" s="69"/>
      <x:c r="V102" s="69"/>
      <x:c r="W102" s="69"/>
      <x:c r="X102" s="69"/>
      <x:c r="Y102" s="69"/>
      <x:c r="Z102" s="69"/>
      <x:c r="AA102" s="69"/>
      <x:c r="AB102" s="69"/>
      <x:c r="AC102" s="69"/>
    </x:row>
    <x:row r="103">
      <x:c r="A103" s="69"/>
      <x:c r="B103" s="69"/>
      <x:c r="C103" s="69"/>
      <x:c r="D103" s="69"/>
      <x:c r="E103" s="69"/>
      <x:c r="F103" s="69"/>
      <x:c r="G103" s="69"/>
      <x:c r="H103" s="69"/>
      <x:c r="I103" s="69"/>
      <x:c r="J103" s="69"/>
      <x:c r="K103" s="69"/>
      <x:c r="L103" s="69"/>
      <x:c r="M103" s="69"/>
      <x:c r="N103" s="69"/>
      <x:c r="O103" s="69"/>
      <x:c r="P103" s="69"/>
      <x:c r="Q103" s="69"/>
      <x:c r="R103" s="69"/>
      <x:c r="S103" s="69"/>
      <x:c r="T103" s="69"/>
      <x:c r="U103" s="69"/>
      <x:c r="V103" s="69"/>
      <x:c r="W103" s="69"/>
      <x:c r="X103" s="69"/>
      <x:c r="Y103" s="69"/>
      <x:c r="Z103" s="69"/>
      <x:c r="AA103" s="69"/>
      <x:c r="AB103" s="69"/>
      <x:c r="AC103" s="69"/>
    </x:row>
    <x:row r="104">
      <x:c r="A104" s="69"/>
      <x:c r="B104" s="69"/>
      <x:c r="C104" s="69"/>
      <x:c r="D104" s="69"/>
      <x:c r="E104" s="69"/>
      <x:c r="F104" s="69"/>
      <x:c r="G104" s="69"/>
      <x:c r="H104" s="69"/>
      <x:c r="I104" s="69"/>
      <x:c r="J104" s="69"/>
      <x:c r="K104" s="69"/>
      <x:c r="L104" s="69"/>
      <x:c r="M104" s="69"/>
      <x:c r="N104" s="69"/>
      <x:c r="O104" s="69"/>
      <x:c r="P104" s="69"/>
      <x:c r="Q104" s="69"/>
      <x:c r="R104" s="69"/>
      <x:c r="S104" s="69"/>
      <x:c r="T104" s="69"/>
      <x:c r="U104" s="69"/>
      <x:c r="V104" s="69"/>
      <x:c r="W104" s="69"/>
      <x:c r="X104" s="69"/>
      <x:c r="Y104" s="69"/>
      <x:c r="Z104" s="69"/>
      <x:c r="AA104" s="69"/>
      <x:c r="AB104" s="69"/>
      <x:c r="AC104" s="69"/>
    </x:row>
    <x:row r="105">
      <x:c r="A105" s="69"/>
      <x:c r="B105" s="69"/>
      <x:c r="C105" s="69"/>
      <x:c r="D105" s="69"/>
      <x:c r="E105" s="69"/>
      <x:c r="F105" s="69"/>
      <x:c r="G105" s="69"/>
      <x:c r="H105" s="69"/>
      <x:c r="I105" s="69"/>
      <x:c r="J105" s="69"/>
      <x:c r="K105" s="69"/>
      <x:c r="L105" s="69"/>
      <x:c r="M105" s="69"/>
      <x:c r="N105" s="69"/>
      <x:c r="O105" s="69"/>
      <x:c r="P105" s="69"/>
      <x:c r="Q105" s="69"/>
      <x:c r="R105" s="69"/>
      <x:c r="S105" s="69"/>
      <x:c r="T105" s="69"/>
      <x:c r="U105" s="69"/>
      <x:c r="V105" s="69"/>
      <x:c r="W105" s="69"/>
      <x:c r="X105" s="69"/>
      <x:c r="Y105" s="69"/>
      <x:c r="Z105" s="69"/>
      <x:c r="AA105" s="69"/>
      <x:c r="AB105" s="69"/>
      <x:c r="AC105" s="69"/>
    </x:row>
    <x:row r="106">
      <x:c r="A106" s="69"/>
      <x:c r="B106" s="69"/>
      <x:c r="C106" s="69"/>
      <x:c r="D106" s="69"/>
      <x:c r="E106" s="69"/>
      <x:c r="F106" s="69"/>
      <x:c r="G106" s="69"/>
      <x:c r="H106" s="69"/>
      <x:c r="I106" s="69"/>
      <x:c r="J106" s="69"/>
      <x:c r="K106" s="69"/>
      <x:c r="L106" s="69"/>
      <x:c r="M106" s="69"/>
      <x:c r="N106" s="69"/>
      <x:c r="O106" s="69"/>
      <x:c r="P106" s="69"/>
      <x:c r="Q106" s="69"/>
      <x:c r="R106" s="69"/>
      <x:c r="S106" s="69"/>
      <x:c r="T106" s="69"/>
      <x:c r="U106" s="69"/>
      <x:c r="V106" s="69"/>
      <x:c r="W106" s="69"/>
      <x:c r="X106" s="69"/>
      <x:c r="Y106" s="69"/>
      <x:c r="Z106" s="69"/>
      <x:c r="AA106" s="69"/>
      <x:c r="AB106" s="69"/>
      <x:c r="AC106" s="69"/>
    </x:row>
    <x:row r="107">
      <x:c r="A107" s="69"/>
      <x:c r="B107" s="69"/>
      <x:c r="C107" s="69"/>
      <x:c r="D107" s="69"/>
      <x:c r="E107" s="69"/>
      <x:c r="F107" s="69"/>
      <x:c r="G107" s="69"/>
      <x:c r="H107" s="69"/>
      <x:c r="I107" s="69"/>
      <x:c r="J107" s="69"/>
      <x:c r="K107" s="69"/>
      <x:c r="L107" s="69"/>
      <x:c r="M107" s="69"/>
      <x:c r="N107" s="69"/>
      <x:c r="O107" s="69"/>
      <x:c r="P107" s="69"/>
      <x:c r="Q107" s="69"/>
      <x:c r="R107" s="69"/>
      <x:c r="S107" s="69"/>
      <x:c r="T107" s="69"/>
      <x:c r="U107" s="69"/>
      <x:c r="V107" s="69"/>
      <x:c r="W107" s="69"/>
      <x:c r="X107" s="69"/>
      <x:c r="Y107" s="69"/>
      <x:c r="Z107" s="69"/>
      <x:c r="AA107" s="69"/>
      <x:c r="AB107" s="69"/>
      <x:c r="AC107" s="69"/>
    </x:row>
    <x:row r="108">
      <x:c r="A108" s="69"/>
      <x:c r="B108" s="69"/>
      <x:c r="C108" s="69"/>
      <x:c r="D108" s="69"/>
      <x:c r="E108" s="69"/>
      <x:c r="F108" s="69"/>
      <x:c r="G108" s="69"/>
      <x:c r="H108" s="69"/>
      <x:c r="I108" s="69"/>
      <x:c r="J108" s="69"/>
      <x:c r="K108" s="69"/>
      <x:c r="L108" s="69"/>
      <x:c r="M108" s="69"/>
      <x:c r="N108" s="69"/>
      <x:c r="O108" s="69"/>
      <x:c r="P108" s="69"/>
      <x:c r="Q108" s="69"/>
      <x:c r="R108" s="69"/>
      <x:c r="S108" s="69"/>
      <x:c r="T108" s="69"/>
      <x:c r="U108" s="69"/>
      <x:c r="V108" s="69"/>
      <x:c r="W108" s="69"/>
      <x:c r="X108" s="69"/>
      <x:c r="Y108" s="69"/>
      <x:c r="Z108" s="69"/>
      <x:c r="AA108" s="69"/>
      <x:c r="AB108" s="69"/>
      <x:c r="AC108" s="69"/>
    </x:row>
    <x:row r="109">
      <x:c r="A109" s="69"/>
      <x:c r="B109" s="69"/>
      <x:c r="C109" s="69"/>
      <x:c r="D109" s="69"/>
      <x:c r="E109" s="69"/>
      <x:c r="F109" s="69"/>
      <x:c r="G109" s="69"/>
      <x:c r="H109" s="69"/>
      <x:c r="I109" s="69"/>
      <x:c r="J109" s="69"/>
      <x:c r="K109" s="69"/>
      <x:c r="L109" s="69"/>
      <x:c r="M109" s="69"/>
      <x:c r="N109" s="69"/>
      <x:c r="O109" s="69"/>
      <x:c r="P109" s="69"/>
      <x:c r="Q109" s="69"/>
      <x:c r="R109" s="69"/>
      <x:c r="S109" s="69"/>
      <x:c r="T109" s="69"/>
      <x:c r="U109" s="69"/>
      <x:c r="V109" s="69"/>
      <x:c r="W109" s="69"/>
      <x:c r="X109" s="69"/>
      <x:c r="Y109" s="69"/>
      <x:c r="Z109" s="69"/>
      <x:c r="AA109" s="69"/>
      <x:c r="AB109" s="69"/>
      <x:c r="AC109" s="69"/>
    </x:row>
    <x:row r="110">
      <x:c r="A110" s="69"/>
      <x:c r="B110" s="69"/>
      <x:c r="C110" s="69"/>
      <x:c r="D110" s="69"/>
      <x:c r="E110" s="69"/>
      <x:c r="F110" s="69"/>
      <x:c r="G110" s="69"/>
      <x:c r="H110" s="69"/>
      <x:c r="I110" s="69"/>
      <x:c r="J110" s="69"/>
      <x:c r="K110" s="69"/>
      <x:c r="L110" s="69"/>
      <x:c r="M110" s="69"/>
      <x:c r="N110" s="69"/>
      <x:c r="O110" s="69"/>
      <x:c r="P110" s="69"/>
      <x:c r="Q110" s="69"/>
      <x:c r="R110" s="69"/>
      <x:c r="S110" s="69"/>
      <x:c r="T110" s="69"/>
      <x:c r="U110" s="69"/>
      <x:c r="V110" s="69"/>
      <x:c r="W110" s="69"/>
      <x:c r="X110" s="69"/>
      <x:c r="Y110" s="69"/>
      <x:c r="Z110" s="69"/>
      <x:c r="AA110" s="69"/>
      <x:c r="AB110" s="69"/>
      <x:c r="AC110" s="69"/>
    </x:row>
    <x:row r="111">
      <x:c r="A111" s="69"/>
      <x:c r="B111" s="69"/>
      <x:c r="C111" s="69"/>
      <x:c r="D111" s="69"/>
      <x:c r="E111" s="69"/>
      <x:c r="F111" s="69"/>
      <x:c r="G111" s="69"/>
      <x:c r="H111" s="69"/>
      <x:c r="I111" s="69"/>
      <x:c r="J111" s="69"/>
      <x:c r="K111" s="69"/>
      <x:c r="L111" s="69"/>
      <x:c r="M111" s="69"/>
      <x:c r="N111" s="69"/>
      <x:c r="O111" s="69"/>
      <x:c r="P111" s="69"/>
      <x:c r="Q111" s="69"/>
      <x:c r="R111" s="69"/>
      <x:c r="S111" s="69"/>
      <x:c r="T111" s="69"/>
      <x:c r="U111" s="69"/>
      <x:c r="V111" s="69"/>
      <x:c r="W111" s="69"/>
      <x:c r="X111" s="69"/>
      <x:c r="Y111" s="69"/>
      <x:c r="Z111" s="69"/>
      <x:c r="AA111" s="69"/>
      <x:c r="AB111" s="69"/>
      <x:c r="AC111" s="69"/>
    </x:row>
    <x:row r="112">
      <x:c r="A112" s="69"/>
      <x:c r="B112" s="69"/>
      <x:c r="C112" s="69"/>
      <x:c r="D112" s="69"/>
      <x:c r="E112" s="69"/>
      <x:c r="F112" s="69"/>
      <x:c r="G112" s="69"/>
      <x:c r="H112" s="69"/>
      <x:c r="I112" s="69"/>
      <x:c r="J112" s="69"/>
      <x:c r="K112" s="69"/>
      <x:c r="L112" s="69"/>
      <x:c r="M112" s="69"/>
      <x:c r="N112" s="69"/>
      <x:c r="O112" s="69"/>
      <x:c r="P112" s="69"/>
      <x:c r="Q112" s="69"/>
      <x:c r="R112" s="69"/>
      <x:c r="S112" s="69"/>
      <x:c r="T112" s="69"/>
      <x:c r="U112" s="69"/>
      <x:c r="V112" s="69"/>
      <x:c r="W112" s="69"/>
      <x:c r="X112" s="69"/>
      <x:c r="Y112" s="69"/>
      <x:c r="Z112" s="69"/>
      <x:c r="AA112" s="69"/>
      <x:c r="AB112" s="69"/>
      <x:c r="AC112" s="69"/>
    </x:row>
    <x:row r="113">
      <x:c r="A113" s="69"/>
      <x:c r="B113" s="69"/>
      <x:c r="C113" s="69"/>
      <x:c r="D113" s="69"/>
      <x:c r="E113" s="69"/>
      <x:c r="F113" s="69"/>
      <x:c r="G113" s="69"/>
      <x:c r="H113" s="69"/>
      <x:c r="I113" s="69"/>
      <x:c r="J113" s="69"/>
      <x:c r="K113" s="69"/>
      <x:c r="L113" s="69"/>
      <x:c r="M113" s="69"/>
      <x:c r="N113" s="69"/>
      <x:c r="O113" s="69"/>
      <x:c r="P113" s="69"/>
      <x:c r="Q113" s="69"/>
      <x:c r="R113" s="69"/>
      <x:c r="S113" s="69"/>
      <x:c r="T113" s="69"/>
      <x:c r="U113" s="69"/>
      <x:c r="V113" s="69"/>
      <x:c r="W113" s="69"/>
      <x:c r="X113" s="69"/>
      <x:c r="Y113" s="69"/>
      <x:c r="Z113" s="69"/>
      <x:c r="AA113" s="69"/>
      <x:c r="AB113" s="69"/>
      <x:c r="AC113" s="69"/>
    </x:row>
    <x:row r="114">
      <x:c r="A114" s="69"/>
      <x:c r="B114" s="69"/>
      <x:c r="C114" s="69"/>
      <x:c r="D114" s="69"/>
      <x:c r="E114" s="69"/>
      <x:c r="F114" s="69"/>
      <x:c r="G114" s="69"/>
      <x:c r="H114" s="69"/>
      <x:c r="I114" s="69"/>
      <x:c r="J114" s="69"/>
      <x:c r="K114" s="69"/>
      <x:c r="L114" s="69"/>
      <x:c r="M114" s="69"/>
      <x:c r="N114" s="69"/>
      <x:c r="O114" s="69"/>
      <x:c r="P114" s="69"/>
      <x:c r="Q114" s="69"/>
      <x:c r="R114" s="69"/>
      <x:c r="S114" s="69"/>
      <x:c r="T114" s="69"/>
      <x:c r="U114" s="69"/>
      <x:c r="V114" s="69"/>
      <x:c r="W114" s="69"/>
      <x:c r="X114" s="69"/>
      <x:c r="Y114" s="69"/>
      <x:c r="Z114" s="69"/>
      <x:c r="AA114" s="69"/>
      <x:c r="AB114" s="69"/>
      <x:c r="AC114" s="69"/>
    </x:row>
    <x:row r="115">
      <x:c r="A115" s="69"/>
      <x:c r="B115" s="69"/>
      <x:c r="C115" s="69"/>
      <x:c r="D115" s="69"/>
      <x:c r="E115" s="69"/>
      <x:c r="F115" s="69"/>
      <x:c r="G115" s="69"/>
      <x:c r="H115" s="69"/>
      <x:c r="I115" s="69"/>
      <x:c r="J115" s="69"/>
      <x:c r="K115" s="69"/>
      <x:c r="L115" s="69"/>
      <x:c r="M115" s="69"/>
      <x:c r="N115" s="69"/>
      <x:c r="O115" s="69"/>
      <x:c r="P115" s="69"/>
      <x:c r="Q115" s="69"/>
      <x:c r="R115" s="69"/>
      <x:c r="S115" s="69"/>
      <x:c r="T115" s="69"/>
      <x:c r="U115" s="69"/>
      <x:c r="V115" s="69"/>
      <x:c r="W115" s="69"/>
      <x:c r="X115" s="69"/>
      <x:c r="Y115" s="69"/>
      <x:c r="Z115" s="69"/>
      <x:c r="AA115" s="69"/>
      <x:c r="AB115" s="69"/>
      <x:c r="AC115" s="69"/>
    </x:row>
    <x:row r="116">
      <x:c r="A116" s="69"/>
      <x:c r="B116" s="69"/>
      <x:c r="C116" s="69"/>
      <x:c r="D116" s="69"/>
      <x:c r="E116" s="69"/>
      <x:c r="F116" s="69"/>
      <x:c r="G116" s="69"/>
      <x:c r="H116" s="69"/>
      <x:c r="I116" s="69"/>
      <x:c r="J116" s="69"/>
      <x:c r="K116" s="69"/>
      <x:c r="L116" s="69"/>
      <x:c r="M116" s="69"/>
      <x:c r="N116" s="69"/>
      <x:c r="O116" s="69"/>
      <x:c r="P116" s="69"/>
      <x:c r="Q116" s="69"/>
      <x:c r="R116" s="69"/>
      <x:c r="S116" s="69"/>
      <x:c r="T116" s="69"/>
      <x:c r="U116" s="69"/>
      <x:c r="V116" s="69"/>
      <x:c r="W116" s="69"/>
      <x:c r="X116" s="69"/>
      <x:c r="Y116" s="69"/>
      <x:c r="Z116" s="69"/>
      <x:c r="AA116" s="69"/>
      <x:c r="AB116" s="69"/>
      <x:c r="AC116" s="69"/>
    </x:row>
    <x:row r="117">
      <x:c r="A117" s="69"/>
      <x:c r="B117" s="69"/>
      <x:c r="C117" s="69"/>
      <x:c r="D117" s="69"/>
      <x:c r="E117" s="69"/>
      <x:c r="F117" s="69"/>
      <x:c r="G117" s="69"/>
      <x:c r="H117" s="69"/>
      <x:c r="I117" s="69"/>
      <x:c r="J117" s="69"/>
      <x:c r="K117" s="69"/>
      <x:c r="L117" s="69"/>
      <x:c r="M117" s="69"/>
      <x:c r="N117" s="69"/>
      <x:c r="O117" s="69"/>
      <x:c r="P117" s="69"/>
      <x:c r="Q117" s="69"/>
      <x:c r="R117" s="69"/>
      <x:c r="S117" s="69"/>
      <x:c r="T117" s="69"/>
      <x:c r="U117" s="69"/>
      <x:c r="V117" s="69"/>
      <x:c r="W117" s="69"/>
      <x:c r="X117" s="69"/>
      <x:c r="Y117" s="69"/>
      <x:c r="Z117" s="69"/>
      <x:c r="AA117" s="69"/>
      <x:c r="AB117" s="69"/>
      <x:c r="AC117" s="69"/>
    </x:row>
    <x:row r="118">
      <x:c r="A118" s="69"/>
      <x:c r="B118" s="69"/>
      <x:c r="C118" s="69"/>
      <x:c r="D118" s="69"/>
      <x:c r="E118" s="69"/>
      <x:c r="F118" s="69"/>
      <x:c r="G118" s="69"/>
      <x:c r="H118" s="69"/>
      <x:c r="I118" s="69"/>
      <x:c r="J118" s="69"/>
      <x:c r="K118" s="69"/>
      <x:c r="L118" s="69"/>
      <x:c r="M118" s="69"/>
      <x:c r="N118" s="69"/>
      <x:c r="O118" s="69"/>
      <x:c r="P118" s="69"/>
      <x:c r="Q118" s="69"/>
      <x:c r="R118" s="69"/>
      <x:c r="S118" s="69"/>
      <x:c r="T118" s="69"/>
      <x:c r="U118" s="69"/>
      <x:c r="V118" s="69"/>
      <x:c r="W118" s="69"/>
      <x:c r="X118" s="69"/>
      <x:c r="Y118" s="69"/>
      <x:c r="Z118" s="69"/>
      <x:c r="AA118" s="69"/>
      <x:c r="AB118" s="69"/>
      <x:c r="AC118" s="69"/>
    </x:row>
    <x:row r="119">
      <x:c r="A119" s="69"/>
      <x:c r="B119" s="69"/>
      <x:c r="C119" s="69"/>
      <x:c r="D119" s="69"/>
      <x:c r="E119" s="69"/>
      <x:c r="F119" s="69"/>
      <x:c r="G119" s="69"/>
      <x:c r="H119" s="69"/>
      <x:c r="I119" s="69"/>
      <x:c r="J119" s="69"/>
      <x:c r="K119" s="69"/>
      <x:c r="L119" s="69"/>
      <x:c r="M119" s="69"/>
      <x:c r="N119" s="69"/>
      <x:c r="O119" s="69"/>
      <x:c r="P119" s="69"/>
      <x:c r="Q119" s="69"/>
      <x:c r="R119" s="69"/>
      <x:c r="S119" s="69"/>
      <x:c r="T119" s="69"/>
      <x:c r="U119" s="69"/>
      <x:c r="V119" s="69"/>
      <x:c r="W119" s="69"/>
      <x:c r="X119" s="69"/>
      <x:c r="Y119" s="69"/>
      <x:c r="Z119" s="69"/>
      <x:c r="AA119" s="69"/>
      <x:c r="AB119" s="69"/>
      <x:c r="AC119" s="69"/>
    </x:row>
    <x:row r="120">
      <x:c r="A120" s="69"/>
      <x:c r="B120" s="69"/>
      <x:c r="C120" s="69"/>
      <x:c r="D120" s="69"/>
      <x:c r="E120" s="69"/>
      <x:c r="F120" s="69"/>
      <x:c r="G120" s="69"/>
      <x:c r="H120" s="69"/>
      <x:c r="I120" s="69"/>
      <x:c r="J120" s="69"/>
      <x:c r="K120" s="69"/>
      <x:c r="L120" s="69"/>
      <x:c r="M120" s="69"/>
      <x:c r="N120" s="69"/>
      <x:c r="O120" s="69"/>
      <x:c r="P120" s="69"/>
      <x:c r="Q120" s="69"/>
      <x:c r="R120" s="69"/>
      <x:c r="S120" s="69"/>
      <x:c r="T120" s="69"/>
      <x:c r="U120" s="69"/>
      <x:c r="V120" s="69"/>
      <x:c r="W120" s="69"/>
      <x:c r="X120" s="69"/>
      <x:c r="Y120" s="69"/>
      <x:c r="Z120" s="69"/>
      <x:c r="AA120" s="69"/>
      <x:c r="AB120" s="69"/>
      <x:c r="AC120" s="69"/>
    </x:row>
    <x:row r="121">
      <x:c r="A121" s="69"/>
      <x:c r="B121" s="69"/>
      <x:c r="C121" s="69"/>
      <x:c r="D121" s="69"/>
      <x:c r="E121" s="69"/>
      <x:c r="F121" s="69"/>
      <x:c r="G121" s="69"/>
      <x:c r="H121" s="69"/>
      <x:c r="I121" s="69"/>
      <x:c r="J121" s="69"/>
      <x:c r="K121" s="69"/>
      <x:c r="L121" s="69"/>
      <x:c r="M121" s="69"/>
      <x:c r="N121" s="69"/>
      <x:c r="O121" s="69"/>
      <x:c r="P121" s="69"/>
      <x:c r="Q121" s="69"/>
      <x:c r="R121" s="69"/>
      <x:c r="S121" s="69"/>
      <x:c r="T121" s="69"/>
      <x:c r="U121" s="69"/>
      <x:c r="V121" s="69"/>
      <x:c r="W121" s="69"/>
      <x:c r="X121" s="69"/>
      <x:c r="Y121" s="69"/>
      <x:c r="Z121" s="69"/>
      <x:c r="AA121" s="69"/>
      <x:c r="AB121" s="69"/>
      <x:c r="AC121" s="69"/>
    </x:row>
    <x:row r="122">
      <x:c r="A122" s="69"/>
      <x:c r="B122" s="69"/>
      <x:c r="C122" s="69"/>
      <x:c r="D122" s="69"/>
      <x:c r="E122" s="69"/>
      <x:c r="F122" s="69"/>
      <x:c r="G122" s="69"/>
      <x:c r="H122" s="69"/>
      <x:c r="I122" s="69"/>
      <x:c r="J122" s="69"/>
      <x:c r="K122" s="69"/>
      <x:c r="L122" s="69"/>
      <x:c r="M122" s="69"/>
      <x:c r="N122" s="69"/>
      <x:c r="O122" s="69"/>
      <x:c r="P122" s="69"/>
      <x:c r="Q122" s="69"/>
      <x:c r="R122" s="69"/>
      <x:c r="S122" s="69"/>
      <x:c r="T122" s="69"/>
      <x:c r="U122" s="69"/>
      <x:c r="V122" s="69"/>
      <x:c r="W122" s="69"/>
      <x:c r="X122" s="69"/>
      <x:c r="Y122" s="69"/>
      <x:c r="Z122" s="69"/>
      <x:c r="AA122" s="69"/>
      <x:c r="AB122" s="69"/>
      <x:c r="AC122" s="69"/>
    </x:row>
    <x:row r="123">
      <x:c r="A123" s="69"/>
      <x:c r="B123" s="69"/>
      <x:c r="C123" s="69"/>
      <x:c r="D123" s="69"/>
      <x:c r="E123" s="69"/>
      <x:c r="F123" s="69"/>
      <x:c r="G123" s="69"/>
      <x:c r="H123" s="69"/>
      <x:c r="I123" s="69"/>
      <x:c r="J123" s="69"/>
      <x:c r="K123" s="69"/>
      <x:c r="L123" s="69"/>
      <x:c r="M123" s="69"/>
      <x:c r="N123" s="69"/>
      <x:c r="O123" s="69"/>
      <x:c r="P123" s="69"/>
      <x:c r="Q123" s="69"/>
      <x:c r="R123" s="69"/>
      <x:c r="S123" s="69"/>
      <x:c r="T123" s="69"/>
      <x:c r="U123" s="69"/>
      <x:c r="V123" s="69"/>
      <x:c r="W123" s="69"/>
      <x:c r="X123" s="69"/>
      <x:c r="Y123" s="69"/>
      <x:c r="Z123" s="69"/>
      <x:c r="AA123" s="69"/>
      <x:c r="AB123" s="69"/>
      <x:c r="AC123" s="69"/>
    </x:row>
    <x:row r="124">
      <x:c r="A124" s="69"/>
      <x:c r="B124" s="69"/>
      <x:c r="C124" s="69"/>
      <x:c r="D124" s="69"/>
      <x:c r="E124" s="69"/>
      <x:c r="F124" s="69"/>
      <x:c r="G124" s="69"/>
      <x:c r="H124" s="69"/>
      <x:c r="I124" s="69"/>
      <x:c r="J124" s="69"/>
      <x:c r="K124" s="69"/>
      <x:c r="L124" s="69"/>
      <x:c r="M124" s="69"/>
      <x:c r="N124" s="69"/>
      <x:c r="O124" s="69"/>
      <x:c r="P124" s="69"/>
      <x:c r="Q124" s="69"/>
      <x:c r="R124" s="69"/>
      <x:c r="S124" s="69"/>
      <x:c r="T124" s="69"/>
      <x:c r="U124" s="69"/>
      <x:c r="V124" s="69"/>
      <x:c r="W124" s="69"/>
      <x:c r="X124" s="69"/>
      <x:c r="Y124" s="69"/>
      <x:c r="Z124" s="69"/>
      <x:c r="AA124" s="69"/>
      <x:c r="AB124" s="69"/>
      <x:c r="AC124" s="69"/>
    </x:row>
    <x:row r="125">
      <x:c r="A125" s="69"/>
      <x:c r="B125" s="69"/>
      <x:c r="C125" s="69"/>
      <x:c r="D125" s="69"/>
      <x:c r="E125" s="69"/>
      <x:c r="F125" s="69"/>
      <x:c r="G125" s="69"/>
      <x:c r="H125" s="69"/>
      <x:c r="I125" s="69"/>
      <x:c r="J125" s="69"/>
      <x:c r="K125" s="69"/>
      <x:c r="L125" s="69"/>
      <x:c r="M125" s="69"/>
      <x:c r="N125" s="69"/>
      <x:c r="O125" s="69"/>
      <x:c r="P125" s="69"/>
      <x:c r="Q125" s="69"/>
      <x:c r="R125" s="69"/>
      <x:c r="S125" s="69"/>
      <x:c r="T125" s="69"/>
      <x:c r="U125" s="69"/>
      <x:c r="V125" s="69"/>
      <x:c r="W125" s="69"/>
      <x:c r="X125" s="69"/>
      <x:c r="Y125" s="69"/>
      <x:c r="Z125" s="69"/>
      <x:c r="AA125" s="69"/>
      <x:c r="AB125" s="69"/>
      <x:c r="AC125" s="69"/>
    </x:row>
    <x:row r="126">
      <x:c r="A126" s="69"/>
      <x:c r="B126" s="69"/>
      <x:c r="C126" s="69"/>
      <x:c r="D126" s="69"/>
      <x:c r="E126" s="69"/>
      <x:c r="F126" s="69"/>
      <x:c r="G126" s="69"/>
      <x:c r="H126" s="69"/>
      <x:c r="I126" s="69"/>
      <x:c r="J126" s="69"/>
      <x:c r="K126" s="69"/>
      <x:c r="L126" s="69"/>
      <x:c r="M126" s="69"/>
      <x:c r="N126" s="69"/>
      <x:c r="O126" s="69"/>
      <x:c r="P126" s="69"/>
      <x:c r="Q126" s="69"/>
      <x:c r="R126" s="69"/>
      <x:c r="S126" s="69"/>
      <x:c r="T126" s="69"/>
      <x:c r="U126" s="69"/>
      <x:c r="V126" s="69"/>
      <x:c r="W126" s="69"/>
      <x:c r="X126" s="69"/>
      <x:c r="Y126" s="69"/>
      <x:c r="Z126" s="69"/>
      <x:c r="AA126" s="69"/>
      <x:c r="AB126" s="69"/>
      <x:c r="AC126" s="69"/>
    </x:row>
    <x:row r="127">
      <x:c r="A127" s="69"/>
      <x:c r="B127" s="69"/>
      <x:c r="C127" s="69"/>
      <x:c r="D127" s="69"/>
      <x:c r="E127" s="69"/>
      <x:c r="F127" s="69"/>
      <x:c r="G127" s="69"/>
      <x:c r="H127" s="69"/>
      <x:c r="I127" s="69"/>
      <x:c r="J127" s="69"/>
      <x:c r="K127" s="69"/>
      <x:c r="L127" s="69"/>
      <x:c r="M127" s="69"/>
      <x:c r="N127" s="69"/>
      <x:c r="O127" s="69"/>
      <x:c r="P127" s="69"/>
      <x:c r="Q127" s="69"/>
      <x:c r="R127" s="69"/>
      <x:c r="S127" s="69"/>
      <x:c r="T127" s="69"/>
      <x:c r="U127" s="69"/>
      <x:c r="V127" s="69"/>
      <x:c r="W127" s="69"/>
      <x:c r="X127" s="69"/>
      <x:c r="Y127" s="69"/>
      <x:c r="Z127" s="69"/>
      <x:c r="AA127" s="69"/>
      <x:c r="AB127" s="69"/>
      <x:c r="AC127" s="69"/>
    </x:row>
    <x:row r="128">
      <x:c r="A128" s="69"/>
      <x:c r="B128" s="69"/>
      <x:c r="C128" s="69"/>
      <x:c r="D128" s="69"/>
      <x:c r="E128" s="69"/>
      <x:c r="F128" s="69"/>
      <x:c r="G128" s="69"/>
      <x:c r="H128" s="69"/>
      <x:c r="I128" s="69"/>
      <x:c r="J128" s="69"/>
      <x:c r="K128" s="69"/>
      <x:c r="L128" s="69"/>
      <x:c r="M128" s="69"/>
      <x:c r="N128" s="69"/>
      <x:c r="O128" s="69"/>
      <x:c r="P128" s="69"/>
      <x:c r="Q128" s="69"/>
      <x:c r="R128" s="69"/>
      <x:c r="S128" s="69"/>
      <x:c r="T128" s="69"/>
      <x:c r="U128" s="69"/>
      <x:c r="V128" s="69"/>
      <x:c r="W128" s="69"/>
      <x:c r="X128" s="69"/>
      <x:c r="Y128" s="69"/>
      <x:c r="Z128" s="69"/>
      <x:c r="AA128" s="69"/>
      <x:c r="AB128" s="69"/>
      <x:c r="AC128" s="69"/>
    </x:row>
    <x:row r="129">
      <x:c r="A129" s="69"/>
      <x:c r="B129" s="69"/>
      <x:c r="C129" s="69"/>
      <x:c r="D129" s="69"/>
      <x:c r="E129" s="69"/>
      <x:c r="F129" s="69"/>
      <x:c r="G129" s="69"/>
      <x:c r="H129" s="69"/>
      <x:c r="I129" s="69"/>
      <x:c r="J129" s="69"/>
      <x:c r="K129" s="69"/>
      <x:c r="L129" s="69"/>
      <x:c r="M129" s="69"/>
      <x:c r="N129" s="69"/>
      <x:c r="O129" s="69"/>
      <x:c r="P129" s="69"/>
      <x:c r="Q129" s="69"/>
      <x:c r="R129" s="69"/>
      <x:c r="S129" s="69"/>
      <x:c r="T129" s="69"/>
      <x:c r="U129" s="69"/>
      <x:c r="V129" s="69"/>
      <x:c r="W129" s="69"/>
      <x:c r="X129" s="69"/>
      <x:c r="Y129" s="69"/>
      <x:c r="Z129" s="69"/>
      <x:c r="AA129" s="69"/>
      <x:c r="AB129" s="69"/>
      <x:c r="AC129" s="69"/>
    </x:row>
    <x:row r="130">
      <x:c r="A130" s="69"/>
      <x:c r="B130" s="69"/>
      <x:c r="C130" s="69"/>
      <x:c r="D130" s="69"/>
      <x:c r="E130" s="69"/>
      <x:c r="F130" s="69"/>
      <x:c r="G130" s="69"/>
      <x:c r="H130" s="69"/>
      <x:c r="I130" s="69"/>
      <x:c r="J130" s="69"/>
      <x:c r="K130" s="69"/>
      <x:c r="L130" s="69"/>
      <x:c r="M130" s="69"/>
      <x:c r="N130" s="69"/>
      <x:c r="O130" s="69"/>
      <x:c r="P130" s="69"/>
      <x:c r="Q130" s="69"/>
      <x:c r="R130" s="69"/>
      <x:c r="S130" s="69"/>
      <x:c r="T130" s="69"/>
      <x:c r="U130" s="69"/>
      <x:c r="V130" s="69"/>
      <x:c r="W130" s="69"/>
      <x:c r="X130" s="69"/>
      <x:c r="Y130" s="69"/>
      <x:c r="Z130" s="69"/>
      <x:c r="AA130" s="69"/>
      <x:c r="AB130" s="69"/>
      <x:c r="AC130" s="69"/>
    </x:row>
    <x:row r="131">
      <x:c r="A131" s="69"/>
      <x:c r="B131" s="69"/>
      <x:c r="C131" s="69"/>
      <x:c r="D131" s="69"/>
      <x:c r="E131" s="69"/>
      <x:c r="F131" s="69"/>
      <x:c r="G131" s="69"/>
      <x:c r="H131" s="69"/>
      <x:c r="I131" s="69"/>
      <x:c r="J131" s="69"/>
      <x:c r="K131" s="69"/>
      <x:c r="L131" s="69"/>
      <x:c r="M131" s="69"/>
      <x:c r="N131" s="69"/>
      <x:c r="O131" s="69"/>
      <x:c r="P131" s="69"/>
      <x:c r="Q131" s="69"/>
      <x:c r="R131" s="69"/>
      <x:c r="S131" s="69"/>
      <x:c r="T131" s="69"/>
      <x:c r="U131" s="69"/>
      <x:c r="V131" s="69"/>
      <x:c r="W131" s="69"/>
      <x:c r="X131" s="69"/>
      <x:c r="Y131" s="69"/>
      <x:c r="Z131" s="69"/>
      <x:c r="AA131" s="69"/>
      <x:c r="AB131" s="69"/>
      <x:c r="AC131" s="69"/>
    </x:row>
    <x:row r="132">
      <x:c r="A132" s="69"/>
      <x:c r="B132" s="69"/>
      <x:c r="C132" s="69"/>
      <x:c r="D132" s="69"/>
      <x:c r="E132" s="69"/>
      <x:c r="F132" s="69"/>
      <x:c r="G132" s="69"/>
      <x:c r="H132" s="69"/>
      <x:c r="I132" s="69"/>
      <x:c r="J132" s="69"/>
      <x:c r="K132" s="69"/>
      <x:c r="L132" s="69"/>
      <x:c r="M132" s="69"/>
      <x:c r="N132" s="69"/>
      <x:c r="O132" s="69"/>
      <x:c r="P132" s="69"/>
      <x:c r="Q132" s="69"/>
      <x:c r="R132" s="69"/>
      <x:c r="S132" s="69"/>
      <x:c r="T132" s="69"/>
      <x:c r="U132" s="69"/>
      <x:c r="V132" s="69"/>
      <x:c r="W132" s="69"/>
      <x:c r="X132" s="69"/>
      <x:c r="Y132" s="69"/>
      <x:c r="Z132" s="69"/>
      <x:c r="AA132" s="69"/>
      <x:c r="AB132" s="69"/>
      <x:c r="AC132" s="69"/>
    </x:row>
    <x:row r="133">
      <x:c r="A133" s="69"/>
      <x:c r="B133" s="69"/>
      <x:c r="C133" s="69"/>
      <x:c r="D133" s="69"/>
      <x:c r="E133" s="69"/>
      <x:c r="F133" s="69"/>
      <x:c r="G133" s="69"/>
      <x:c r="H133" s="69"/>
      <x:c r="I133" s="69"/>
      <x:c r="J133" s="69"/>
      <x:c r="K133" s="69"/>
      <x:c r="L133" s="69"/>
      <x:c r="M133" s="69"/>
      <x:c r="N133" s="69"/>
      <x:c r="O133" s="69"/>
      <x:c r="P133" s="69"/>
      <x:c r="Q133" s="69"/>
      <x:c r="R133" s="69"/>
      <x:c r="S133" s="69"/>
      <x:c r="T133" s="69"/>
      <x:c r="U133" s="69"/>
      <x:c r="V133" s="69"/>
      <x:c r="W133" s="69"/>
      <x:c r="X133" s="69"/>
      <x:c r="Y133" s="69"/>
      <x:c r="Z133" s="69"/>
      <x:c r="AA133" s="69"/>
      <x:c r="AB133" s="69"/>
      <x:c r="AC133" s="69"/>
    </x:row>
    <x:row r="134">
      <x:c r="A134" s="69"/>
      <x:c r="B134" s="69"/>
      <x:c r="C134" s="69"/>
      <x:c r="D134" s="69"/>
      <x:c r="E134" s="69"/>
      <x:c r="F134" s="69"/>
      <x:c r="G134" s="69"/>
      <x:c r="H134" s="69"/>
      <x:c r="I134" s="69"/>
      <x:c r="J134" s="69"/>
      <x:c r="K134" s="69"/>
      <x:c r="L134" s="69"/>
      <x:c r="M134" s="69"/>
      <x:c r="N134" s="69"/>
      <x:c r="O134" s="69"/>
      <x:c r="P134" s="69"/>
      <x:c r="Q134" s="69"/>
      <x:c r="R134" s="69"/>
      <x:c r="S134" s="69"/>
      <x:c r="T134" s="69"/>
      <x:c r="U134" s="69"/>
      <x:c r="V134" s="69"/>
      <x:c r="W134" s="69"/>
      <x:c r="X134" s="69"/>
      <x:c r="Y134" s="69"/>
      <x:c r="Z134" s="69"/>
      <x:c r="AA134" s="69"/>
      <x:c r="AB134" s="69"/>
      <x:c r="AC134" s="69"/>
    </x:row>
    <x:row r="135">
      <x:c r="A135" s="69"/>
      <x:c r="B135" s="69"/>
      <x:c r="C135" s="69"/>
      <x:c r="D135" s="69"/>
      <x:c r="E135" s="69"/>
      <x:c r="F135" s="69"/>
      <x:c r="G135" s="69"/>
      <x:c r="H135" s="69"/>
      <x:c r="I135" s="69"/>
      <x:c r="J135" s="69"/>
      <x:c r="K135" s="69"/>
      <x:c r="L135" s="69"/>
      <x:c r="M135" s="69"/>
      <x:c r="N135" s="69"/>
      <x:c r="O135" s="69"/>
      <x:c r="P135" s="69"/>
      <x:c r="Q135" s="69"/>
      <x:c r="R135" s="69"/>
      <x:c r="S135" s="69"/>
      <x:c r="T135" s="69"/>
      <x:c r="U135" s="69"/>
      <x:c r="V135" s="69"/>
      <x:c r="W135" s="69"/>
      <x:c r="X135" s="69"/>
      <x:c r="Y135" s="69"/>
      <x:c r="Z135" s="69"/>
      <x:c r="AA135" s="69"/>
      <x:c r="AB135" s="69"/>
      <x:c r="AC135" s="69"/>
    </x:row>
    <x:row r="136">
      <x:c r="A136" s="69"/>
      <x:c r="B136" s="69"/>
      <x:c r="C136" s="69"/>
      <x:c r="D136" s="69"/>
      <x:c r="E136" s="69"/>
      <x:c r="F136" s="69"/>
      <x:c r="G136" s="69"/>
      <x:c r="H136" s="69"/>
      <x:c r="I136" s="69"/>
      <x:c r="J136" s="69"/>
      <x:c r="K136" s="69"/>
      <x:c r="L136" s="69"/>
      <x:c r="M136" s="69"/>
      <x:c r="N136" s="69"/>
      <x:c r="O136" s="69"/>
      <x:c r="P136" s="69"/>
      <x:c r="Q136" s="69"/>
      <x:c r="R136" s="69"/>
      <x:c r="S136" s="69"/>
      <x:c r="T136" s="69"/>
      <x:c r="U136" s="69"/>
      <x:c r="V136" s="69"/>
      <x:c r="W136" s="69"/>
      <x:c r="X136" s="69"/>
      <x:c r="Y136" s="69"/>
      <x:c r="Z136" s="69"/>
      <x:c r="AA136" s="69"/>
      <x:c r="AB136" s="69"/>
      <x:c r="AC136" s="69"/>
    </x:row>
    <x:row r="137">
      <x:c r="A137" s="69"/>
      <x:c r="B137" s="69"/>
      <x:c r="C137" s="69"/>
      <x:c r="D137" s="69"/>
      <x:c r="E137" s="69"/>
      <x:c r="F137" s="69"/>
      <x:c r="G137" s="69"/>
      <x:c r="H137" s="69"/>
      <x:c r="I137" s="69"/>
      <x:c r="J137" s="69"/>
      <x:c r="K137" s="69"/>
      <x:c r="L137" s="69"/>
      <x:c r="M137" s="69"/>
      <x:c r="N137" s="69"/>
      <x:c r="O137" s="69"/>
      <x:c r="P137" s="69"/>
      <x:c r="Q137" s="69"/>
      <x:c r="R137" s="69"/>
      <x:c r="S137" s="69"/>
      <x:c r="T137" s="69"/>
      <x:c r="U137" s="69"/>
      <x:c r="V137" s="69"/>
      <x:c r="W137" s="69"/>
      <x:c r="X137" s="69"/>
      <x:c r="Y137" s="69"/>
      <x:c r="Z137" s="69"/>
      <x:c r="AA137" s="69"/>
      <x:c r="AB137" s="69"/>
      <x:c r="AC137" s="69"/>
    </x:row>
    <x:row r="138">
      <x:c r="A138" s="69"/>
      <x:c r="B138" s="69"/>
      <x:c r="C138" s="69"/>
      <x:c r="D138" s="69"/>
      <x:c r="E138" s="69"/>
      <x:c r="F138" s="69"/>
      <x:c r="G138" s="69"/>
      <x:c r="H138" s="69"/>
      <x:c r="I138" s="69"/>
      <x:c r="J138" s="69"/>
      <x:c r="K138" s="69"/>
      <x:c r="L138" s="69"/>
      <x:c r="M138" s="69"/>
      <x:c r="N138" s="69"/>
      <x:c r="O138" s="69"/>
      <x:c r="P138" s="69"/>
      <x:c r="Q138" s="69"/>
      <x:c r="R138" s="69"/>
      <x:c r="S138" s="69"/>
      <x:c r="T138" s="69"/>
      <x:c r="U138" s="69"/>
      <x:c r="V138" s="69"/>
      <x:c r="W138" s="69"/>
      <x:c r="X138" s="69"/>
      <x:c r="Y138" s="69"/>
      <x:c r="Z138" s="69"/>
      <x:c r="AA138" s="69"/>
      <x:c r="AB138" s="69"/>
      <x:c r="AC138" s="69"/>
    </x:row>
    <x:row r="139">
      <x:c r="A139" s="69"/>
      <x:c r="B139" s="69"/>
      <x:c r="C139" s="69"/>
      <x:c r="D139" s="69"/>
      <x:c r="E139" s="69"/>
      <x:c r="F139" s="69"/>
      <x:c r="G139" s="69"/>
      <x:c r="H139" s="69"/>
      <x:c r="I139" s="69"/>
      <x:c r="J139" s="69"/>
      <x:c r="K139" s="69"/>
      <x:c r="L139" s="69"/>
      <x:c r="M139" s="69"/>
      <x:c r="N139" s="69"/>
      <x:c r="O139" s="69"/>
      <x:c r="P139" s="69"/>
      <x:c r="Q139" s="69"/>
      <x:c r="R139" s="69"/>
      <x:c r="S139" s="69"/>
      <x:c r="T139" s="69"/>
      <x:c r="U139" s="69"/>
      <x:c r="V139" s="69"/>
      <x:c r="W139" s="69"/>
      <x:c r="X139" s="69"/>
      <x:c r="Y139" s="69"/>
      <x:c r="Z139" s="69"/>
      <x:c r="AA139" s="69"/>
      <x:c r="AB139" s="69"/>
      <x:c r="AC139" s="69"/>
    </x:row>
    <x:row r="140">
      <x:c r="A140" s="69"/>
      <x:c r="B140" s="69"/>
      <x:c r="C140" s="69"/>
      <x:c r="D140" s="69"/>
      <x:c r="E140" s="69"/>
      <x:c r="F140" s="69"/>
      <x:c r="G140" s="69"/>
      <x:c r="H140" s="69"/>
      <x:c r="I140" s="69"/>
      <x:c r="J140" s="69"/>
      <x:c r="K140" s="69"/>
      <x:c r="L140" s="69"/>
      <x:c r="M140" s="69"/>
      <x:c r="N140" s="69"/>
      <x:c r="O140" s="69"/>
      <x:c r="P140" s="69"/>
      <x:c r="Q140" s="69"/>
      <x:c r="R140" s="69"/>
      <x:c r="S140" s="69"/>
      <x:c r="T140" s="69"/>
      <x:c r="U140" s="69"/>
      <x:c r="V140" s="69"/>
      <x:c r="W140" s="69"/>
      <x:c r="X140" s="69"/>
      <x:c r="Y140" s="69"/>
      <x:c r="Z140" s="69"/>
      <x:c r="AA140" s="69"/>
      <x:c r="AB140" s="69"/>
      <x:c r="AC140" s="69"/>
    </x:row>
    <x:row r="141">
      <x:c r="A141" s="69"/>
      <x:c r="B141" s="69"/>
      <x:c r="C141" s="69"/>
      <x:c r="D141" s="69"/>
      <x:c r="E141" s="69"/>
      <x:c r="F141" s="69"/>
      <x:c r="G141" s="69"/>
      <x:c r="H141" s="69"/>
      <x:c r="I141" s="69"/>
      <x:c r="J141" s="69"/>
      <x:c r="K141" s="69"/>
      <x:c r="L141" s="69"/>
      <x:c r="M141" s="69"/>
      <x:c r="N141" s="69"/>
      <x:c r="O141" s="69"/>
      <x:c r="P141" s="69"/>
      <x:c r="Q141" s="69"/>
      <x:c r="R141" s="69"/>
      <x:c r="S141" s="69"/>
      <x:c r="T141" s="69"/>
      <x:c r="U141" s="69"/>
      <x:c r="V141" s="69"/>
      <x:c r="W141" s="69"/>
      <x:c r="X141" s="69"/>
      <x:c r="Y141" s="69"/>
      <x:c r="Z141" s="69"/>
      <x:c r="AA141" s="69"/>
      <x:c r="AB141" s="69"/>
      <x:c r="AC141" s="69"/>
    </x:row>
    <x:row r="142">
      <x:c r="A142" s="69"/>
      <x:c r="B142" s="69"/>
      <x:c r="C142" s="69"/>
      <x:c r="D142" s="69"/>
      <x:c r="E142" s="69"/>
      <x:c r="F142" s="69"/>
      <x:c r="G142" s="69"/>
      <x:c r="H142" s="69"/>
      <x:c r="I142" s="69"/>
      <x:c r="J142" s="69"/>
      <x:c r="K142" s="69"/>
      <x:c r="L142" s="69"/>
      <x:c r="M142" s="69"/>
      <x:c r="N142" s="69"/>
      <x:c r="O142" s="69"/>
      <x:c r="P142" s="69"/>
      <x:c r="Q142" s="69"/>
      <x:c r="R142" s="69"/>
      <x:c r="S142" s="69"/>
      <x:c r="T142" s="69"/>
      <x:c r="U142" s="69"/>
      <x:c r="V142" s="69"/>
      <x:c r="W142" s="69"/>
      <x:c r="X142" s="69"/>
      <x:c r="Y142" s="69"/>
      <x:c r="Z142" s="69"/>
      <x:c r="AA142" s="69"/>
      <x:c r="AB142" s="69"/>
      <x:c r="AC142" s="69"/>
    </x:row>
    <x:row r="143">
      <x:c r="A143" s="69"/>
      <x:c r="B143" s="69"/>
      <x:c r="C143" s="69"/>
      <x:c r="D143" s="69"/>
      <x:c r="E143" s="69"/>
      <x:c r="F143" s="69"/>
      <x:c r="G143" s="69"/>
      <x:c r="H143" s="69"/>
      <x:c r="I143" s="69"/>
      <x:c r="J143" s="69"/>
      <x:c r="K143" s="69"/>
      <x:c r="L143" s="69"/>
      <x:c r="M143" s="69"/>
      <x:c r="N143" s="69"/>
      <x:c r="O143" s="69"/>
      <x:c r="P143" s="69"/>
      <x:c r="Q143" s="69"/>
      <x:c r="R143" s="69"/>
      <x:c r="S143" s="69"/>
      <x:c r="T143" s="69"/>
      <x:c r="U143" s="69"/>
      <x:c r="V143" s="69"/>
      <x:c r="W143" s="69"/>
      <x:c r="X143" s="69"/>
      <x:c r="Y143" s="69"/>
      <x:c r="Z143" s="69"/>
      <x:c r="AA143" s="69"/>
      <x:c r="AB143" s="69"/>
      <x:c r="AC143" s="69"/>
    </x:row>
    <x:row r="144">
      <x:c r="A144" s="69"/>
      <x:c r="B144" s="69"/>
      <x:c r="C144" s="69"/>
      <x:c r="D144" s="69"/>
      <x:c r="E144" s="69"/>
      <x:c r="F144" s="69"/>
      <x:c r="G144" s="69"/>
      <x:c r="H144" s="69"/>
      <x:c r="I144" s="69"/>
      <x:c r="J144" s="69"/>
      <x:c r="K144" s="69"/>
      <x:c r="L144" s="69"/>
      <x:c r="M144" s="69"/>
      <x:c r="N144" s="69"/>
      <x:c r="O144" s="69"/>
      <x:c r="P144" s="69"/>
      <x:c r="Q144" s="69"/>
      <x:c r="R144" s="69"/>
      <x:c r="S144" s="69"/>
      <x:c r="T144" s="69"/>
      <x:c r="U144" s="69"/>
      <x:c r="V144" s="69"/>
      <x:c r="W144" s="69"/>
      <x:c r="X144" s="69"/>
      <x:c r="Y144" s="69"/>
      <x:c r="Z144" s="69"/>
      <x:c r="AA144" s="69"/>
      <x:c r="AB144" s="69"/>
      <x:c r="AC144" s="69"/>
    </x:row>
    <x:row r="145">
      <x:c r="A145" s="69"/>
      <x:c r="B145" s="69"/>
      <x:c r="C145" s="69"/>
      <x:c r="D145" s="69"/>
      <x:c r="E145" s="69"/>
      <x:c r="F145" s="69"/>
      <x:c r="G145" s="69"/>
      <x:c r="H145" s="69"/>
      <x:c r="I145" s="69"/>
      <x:c r="J145" s="69"/>
      <x:c r="K145" s="69"/>
      <x:c r="L145" s="69"/>
      <x:c r="M145" s="69"/>
      <x:c r="N145" s="69"/>
      <x:c r="O145" s="69"/>
      <x:c r="P145" s="69"/>
      <x:c r="Q145" s="69"/>
      <x:c r="R145" s="69"/>
      <x:c r="S145" s="69"/>
      <x:c r="T145" s="69"/>
      <x:c r="U145" s="69"/>
      <x:c r="V145" s="69"/>
      <x:c r="W145" s="69"/>
      <x:c r="X145" s="69"/>
      <x:c r="Y145" s="69"/>
      <x:c r="Z145" s="69"/>
      <x:c r="AA145" s="69"/>
      <x:c r="AB145" s="69"/>
      <x:c r="AC145" s="69"/>
    </x:row>
    <x:row r="146">
      <x:c r="A146" s="69"/>
      <x:c r="B146" s="69"/>
      <x:c r="C146" s="69"/>
      <x:c r="D146" s="69"/>
      <x:c r="E146" s="69"/>
      <x:c r="F146" s="69"/>
      <x:c r="G146" s="69"/>
      <x:c r="H146" s="69"/>
      <x:c r="I146" s="69"/>
      <x:c r="J146" s="69"/>
      <x:c r="K146" s="69"/>
      <x:c r="L146" s="69"/>
      <x:c r="M146" s="69"/>
      <x:c r="N146" s="69"/>
      <x:c r="O146" s="69"/>
      <x:c r="P146" s="69"/>
      <x:c r="Q146" s="69"/>
      <x:c r="R146" s="69"/>
      <x:c r="S146" s="69"/>
      <x:c r="T146" s="69"/>
      <x:c r="U146" s="69"/>
      <x:c r="V146" s="69"/>
      <x:c r="W146" s="69"/>
      <x:c r="X146" s="69"/>
      <x:c r="Y146" s="69"/>
      <x:c r="Z146" s="69"/>
      <x:c r="AA146" s="69"/>
      <x:c r="AB146" s="69"/>
      <x:c r="AC146" s="69"/>
    </x:row>
    <x:row r="147">
      <x:c r="A147" s="69"/>
      <x:c r="B147" s="69"/>
      <x:c r="C147" s="69"/>
      <x:c r="D147" s="69"/>
      <x:c r="E147" s="69"/>
      <x:c r="F147" s="69"/>
      <x:c r="G147" s="69"/>
      <x:c r="H147" s="69"/>
      <x:c r="I147" s="69"/>
      <x:c r="J147" s="69"/>
      <x:c r="K147" s="69"/>
      <x:c r="L147" s="69"/>
      <x:c r="M147" s="69"/>
      <x:c r="N147" s="69"/>
      <x:c r="O147" s="69"/>
      <x:c r="P147" s="69"/>
      <x:c r="Q147" s="69"/>
      <x:c r="R147" s="69"/>
      <x:c r="S147" s="69"/>
      <x:c r="T147" s="69"/>
      <x:c r="U147" s="69"/>
      <x:c r="V147" s="69"/>
      <x:c r="W147" s="69"/>
      <x:c r="X147" s="69"/>
      <x:c r="Y147" s="69"/>
      <x:c r="Z147" s="69"/>
      <x:c r="AA147" s="69"/>
      <x:c r="AB147" s="69"/>
      <x:c r="AC147" s="69"/>
    </x:row>
    <x:row r="148">
      <x:c r="A148" s="69"/>
      <x:c r="B148" s="69"/>
      <x:c r="C148" s="69"/>
      <x:c r="D148" s="69"/>
      <x:c r="E148" s="69"/>
      <x:c r="F148" s="69"/>
      <x:c r="G148" s="69"/>
      <x:c r="H148" s="69"/>
      <x:c r="I148" s="69"/>
      <x:c r="J148" s="69"/>
      <x:c r="K148" s="69"/>
      <x:c r="L148" s="69"/>
      <x:c r="M148" s="69"/>
      <x:c r="N148" s="69"/>
      <x:c r="O148" s="69"/>
      <x:c r="P148" s="69"/>
      <x:c r="Q148" s="69"/>
      <x:c r="R148" s="69"/>
      <x:c r="S148" s="69"/>
      <x:c r="T148" s="69"/>
      <x:c r="U148" s="69"/>
      <x:c r="V148" s="69"/>
      <x:c r="W148" s="69"/>
      <x:c r="X148" s="69"/>
      <x:c r="Y148" s="69"/>
      <x:c r="Z148" s="69"/>
      <x:c r="AA148" s="69"/>
      <x:c r="AB148" s="69"/>
      <x:c r="AC148" s="69"/>
    </x:row>
    <x:row r="149">
      <x:c r="A149" s="69"/>
      <x:c r="B149" s="69"/>
      <x:c r="C149" s="69"/>
      <x:c r="D149" s="69"/>
      <x:c r="E149" s="69"/>
      <x:c r="F149" s="69"/>
      <x:c r="G149" s="69"/>
      <x:c r="H149" s="69"/>
      <x:c r="I149" s="69"/>
      <x:c r="J149" s="69"/>
      <x:c r="K149" s="69"/>
      <x:c r="L149" s="69"/>
      <x:c r="M149" s="69"/>
      <x:c r="N149" s="69"/>
      <x:c r="O149" s="69"/>
      <x:c r="P149" s="69"/>
      <x:c r="Q149" s="69"/>
      <x:c r="R149" s="69"/>
      <x:c r="S149" s="69"/>
      <x:c r="T149" s="69"/>
      <x:c r="U149" s="69"/>
      <x:c r="V149" s="69"/>
      <x:c r="W149" s="69"/>
      <x:c r="X149" s="69"/>
      <x:c r="Y149" s="69"/>
      <x:c r="Z149" s="69"/>
      <x:c r="AA149" s="69"/>
      <x:c r="AB149" s="69"/>
      <x:c r="AC149" s="69"/>
    </x:row>
    <x:row r="150">
      <x:c r="A150" s="69"/>
      <x:c r="B150" s="69"/>
      <x:c r="C150" s="69"/>
      <x:c r="D150" s="69"/>
      <x:c r="E150" s="69"/>
      <x:c r="F150" s="69"/>
      <x:c r="G150" s="69"/>
      <x:c r="H150" s="69"/>
      <x:c r="I150" s="69"/>
      <x:c r="J150" s="69"/>
      <x:c r="K150" s="69"/>
      <x:c r="L150" s="69"/>
      <x:c r="M150" s="69"/>
      <x:c r="N150" s="69"/>
      <x:c r="O150" s="69"/>
      <x:c r="P150" s="69"/>
      <x:c r="Q150" s="69"/>
      <x:c r="R150" s="69"/>
      <x:c r="S150" s="69"/>
      <x:c r="T150" s="69"/>
      <x:c r="U150" s="69"/>
      <x:c r="V150" s="69"/>
      <x:c r="W150" s="69"/>
      <x:c r="X150" s="69"/>
      <x:c r="Y150" s="69"/>
      <x:c r="Z150" s="69"/>
      <x:c r="AA150" s="69"/>
      <x:c r="AB150" s="69"/>
      <x:c r="AC150" s="69"/>
    </x:row>
    <x:row r="151">
      <x:c r="A151" s="69"/>
      <x:c r="B151" s="69"/>
      <x:c r="C151" s="69"/>
      <x:c r="D151" s="69"/>
      <x:c r="E151" s="69"/>
      <x:c r="F151" s="69"/>
      <x:c r="G151" s="69"/>
      <x:c r="H151" s="69"/>
      <x:c r="I151" s="69"/>
      <x:c r="J151" s="69"/>
      <x:c r="K151" s="69"/>
      <x:c r="L151" s="69"/>
      <x:c r="M151" s="69"/>
      <x:c r="N151" s="69"/>
      <x:c r="O151" s="69"/>
      <x:c r="P151" s="69"/>
      <x:c r="Q151" s="69"/>
      <x:c r="R151" s="69"/>
      <x:c r="S151" s="69"/>
      <x:c r="T151" s="69"/>
      <x:c r="U151" s="69"/>
      <x:c r="V151" s="69"/>
      <x:c r="W151" s="69"/>
      <x:c r="X151" s="69"/>
      <x:c r="Y151" s="69"/>
      <x:c r="Z151" s="69"/>
      <x:c r="AA151" s="69"/>
      <x:c r="AB151" s="69"/>
      <x:c r="AC151" s="69"/>
    </x:row>
    <x:row r="152">
      <x:c r="A152" s="69"/>
      <x:c r="B152" s="69"/>
      <x:c r="C152" s="69"/>
      <x:c r="D152" s="69"/>
      <x:c r="E152" s="69"/>
      <x:c r="F152" s="69"/>
      <x:c r="G152" s="69"/>
      <x:c r="H152" s="69"/>
      <x:c r="I152" s="69"/>
      <x:c r="J152" s="69"/>
      <x:c r="K152" s="69"/>
      <x:c r="L152" s="69"/>
      <x:c r="M152" s="69"/>
      <x:c r="N152" s="69"/>
      <x:c r="O152" s="69"/>
      <x:c r="P152" s="69"/>
      <x:c r="Q152" s="69"/>
      <x:c r="R152" s="69"/>
      <x:c r="S152" s="69"/>
      <x:c r="T152" s="69"/>
      <x:c r="U152" s="69"/>
      <x:c r="V152" s="69"/>
      <x:c r="W152" s="69"/>
      <x:c r="X152" s="69"/>
      <x:c r="Y152" s="69"/>
      <x:c r="Z152" s="69"/>
      <x:c r="AA152" s="69"/>
      <x:c r="AB152" s="69"/>
      <x:c r="AC152" s="69"/>
    </x:row>
    <x:row r="153">
      <x:c r="A153" s="69"/>
      <x:c r="B153" s="69"/>
      <x:c r="C153" s="69"/>
      <x:c r="D153" s="69"/>
      <x:c r="E153" s="69"/>
      <x:c r="F153" s="69"/>
      <x:c r="G153" s="69"/>
      <x:c r="H153" s="69"/>
      <x:c r="I153" s="69"/>
      <x:c r="J153" s="69"/>
      <x:c r="K153" s="69"/>
      <x:c r="L153" s="69"/>
      <x:c r="M153" s="69"/>
      <x:c r="N153" s="69"/>
      <x:c r="O153" s="69"/>
      <x:c r="P153" s="69"/>
      <x:c r="Q153" s="69"/>
      <x:c r="R153" s="69"/>
      <x:c r="S153" s="69"/>
      <x:c r="T153" s="69"/>
      <x:c r="U153" s="69"/>
      <x:c r="V153" s="69"/>
      <x:c r="W153" s="69"/>
      <x:c r="X153" s="69"/>
      <x:c r="Y153" s="69"/>
      <x:c r="Z153" s="69"/>
      <x:c r="AA153" s="69"/>
      <x:c r="AB153" s="69"/>
      <x:c r="AC153" s="69"/>
    </x:row>
    <x:row r="154">
      <x:c r="A154" s="69"/>
      <x:c r="B154" s="69"/>
      <x:c r="C154" s="69"/>
      <x:c r="D154" s="69"/>
      <x:c r="E154" s="69"/>
      <x:c r="F154" s="69"/>
      <x:c r="G154" s="69"/>
      <x:c r="H154" s="69"/>
      <x:c r="I154" s="69"/>
      <x:c r="J154" s="69"/>
      <x:c r="K154" s="69"/>
      <x:c r="L154" s="69"/>
      <x:c r="M154" s="69"/>
      <x:c r="N154" s="69"/>
      <x:c r="O154" s="69"/>
      <x:c r="P154" s="69"/>
      <x:c r="Q154" s="69"/>
      <x:c r="R154" s="69"/>
      <x:c r="S154" s="69"/>
      <x:c r="T154" s="69"/>
      <x:c r="U154" s="69"/>
      <x:c r="V154" s="69"/>
      <x:c r="W154" s="69"/>
      <x:c r="X154" s="69"/>
      <x:c r="Y154" s="69"/>
      <x:c r="Z154" s="69"/>
      <x:c r="AA154" s="69"/>
      <x:c r="AB154" s="69"/>
      <x:c r="AC154" s="69"/>
    </x:row>
    <x:row r="155">
      <x:c r="A155" s="69"/>
      <x:c r="B155" s="69"/>
      <x:c r="C155" s="69"/>
      <x:c r="D155" s="69"/>
      <x:c r="E155" s="69"/>
      <x:c r="F155" s="69"/>
      <x:c r="G155" s="69"/>
      <x:c r="H155" s="69"/>
      <x:c r="I155" s="69"/>
      <x:c r="J155" s="69"/>
      <x:c r="K155" s="69"/>
      <x:c r="L155" s="69"/>
      <x:c r="M155" s="69"/>
      <x:c r="N155" s="69"/>
      <x:c r="O155" s="69"/>
      <x:c r="P155" s="69"/>
      <x:c r="Q155" s="69"/>
      <x:c r="R155" s="69"/>
      <x:c r="S155" s="69"/>
      <x:c r="T155" s="69"/>
      <x:c r="U155" s="69"/>
      <x:c r="V155" s="69"/>
      <x:c r="W155" s="69"/>
      <x:c r="X155" s="69"/>
      <x:c r="Y155" s="69"/>
      <x:c r="Z155" s="69"/>
      <x:c r="AA155" s="69"/>
      <x:c r="AB155" s="69"/>
      <x:c r="AC155" s="69"/>
    </x:row>
    <x:row r="156">
      <x:c r="A156" s="69"/>
      <x:c r="B156" s="69"/>
      <x:c r="C156" s="69"/>
      <x:c r="D156" s="69"/>
      <x:c r="E156" s="69"/>
      <x:c r="F156" s="69"/>
      <x:c r="G156" s="69"/>
      <x:c r="H156" s="69"/>
      <x:c r="I156" s="69"/>
      <x:c r="J156" s="69"/>
      <x:c r="K156" s="69"/>
      <x:c r="L156" s="69"/>
      <x:c r="M156" s="69"/>
      <x:c r="N156" s="69"/>
      <x:c r="O156" s="69"/>
      <x:c r="P156" s="69"/>
      <x:c r="Q156" s="69"/>
      <x:c r="R156" s="69"/>
      <x:c r="S156" s="69"/>
      <x:c r="T156" s="69"/>
      <x:c r="U156" s="69"/>
      <x:c r="V156" s="69"/>
      <x:c r="W156" s="69"/>
      <x:c r="X156" s="69"/>
      <x:c r="Y156" s="69"/>
      <x:c r="Z156" s="69"/>
      <x:c r="AA156" s="69"/>
      <x:c r="AB156" s="69"/>
      <x:c r="AC156" s="69"/>
    </x:row>
    <x:row r="157">
      <x:c r="A157" s="69"/>
      <x:c r="B157" s="69"/>
      <x:c r="C157" s="69"/>
      <x:c r="D157" s="69"/>
      <x:c r="E157" s="69"/>
      <x:c r="F157" s="69"/>
      <x:c r="G157" s="69"/>
      <x:c r="H157" s="69"/>
      <x:c r="I157" s="69"/>
      <x:c r="J157" s="69"/>
      <x:c r="K157" s="69"/>
      <x:c r="L157" s="69"/>
      <x:c r="M157" s="69"/>
      <x:c r="N157" s="69"/>
      <x:c r="O157" s="69"/>
      <x:c r="P157" s="69"/>
      <x:c r="Q157" s="69"/>
      <x:c r="R157" s="69"/>
      <x:c r="S157" s="69"/>
      <x:c r="T157" s="69"/>
      <x:c r="U157" s="69"/>
      <x:c r="V157" s="69"/>
      <x:c r="W157" s="69"/>
      <x:c r="X157" s="69"/>
      <x:c r="Y157" s="69"/>
      <x:c r="Z157" s="69"/>
      <x:c r="AA157" s="69"/>
      <x:c r="AB157" s="69"/>
      <x:c r="AC157" s="69"/>
    </x:row>
    <x:row r="158">
      <x:c r="A158" s="69"/>
      <x:c r="B158" s="69"/>
      <x:c r="C158" s="69"/>
      <x:c r="D158" s="69"/>
      <x:c r="E158" s="69"/>
      <x:c r="F158" s="69"/>
      <x:c r="G158" s="69"/>
      <x:c r="H158" s="69"/>
      <x:c r="I158" s="69"/>
      <x:c r="J158" s="69"/>
      <x:c r="K158" s="69"/>
      <x:c r="L158" s="69"/>
      <x:c r="M158" s="69"/>
      <x:c r="N158" s="69"/>
      <x:c r="O158" s="69"/>
      <x:c r="P158" s="69"/>
      <x:c r="Q158" s="69"/>
      <x:c r="R158" s="69"/>
      <x:c r="S158" s="69"/>
      <x:c r="T158" s="69"/>
      <x:c r="U158" s="69"/>
      <x:c r="V158" s="69"/>
      <x:c r="W158" s="69"/>
      <x:c r="X158" s="69"/>
      <x:c r="Y158" s="69"/>
      <x:c r="Z158" s="69"/>
      <x:c r="AA158" s="69"/>
      <x:c r="AB158" s="69"/>
      <x:c r="AC158" s="69"/>
    </x:row>
    <x:row r="159">
      <x:c r="A159" s="69"/>
      <x:c r="B159" s="69"/>
      <x:c r="C159" s="69"/>
      <x:c r="D159" s="69"/>
      <x:c r="E159" s="69"/>
      <x:c r="F159" s="69"/>
      <x:c r="G159" s="69"/>
      <x:c r="H159" s="69"/>
      <x:c r="I159" s="69"/>
      <x:c r="J159" s="69"/>
      <x:c r="K159" s="69"/>
      <x:c r="L159" s="69"/>
      <x:c r="M159" s="69"/>
      <x:c r="N159" s="69"/>
      <x:c r="O159" s="69"/>
      <x:c r="P159" s="69"/>
      <x:c r="Q159" s="69"/>
      <x:c r="R159" s="69"/>
      <x:c r="S159" s="69"/>
      <x:c r="T159" s="69"/>
      <x:c r="U159" s="69"/>
      <x:c r="V159" s="69"/>
      <x:c r="W159" s="69"/>
      <x:c r="X159" s="69"/>
      <x:c r="Y159" s="69"/>
      <x:c r="Z159" s="69"/>
      <x:c r="AA159" s="69"/>
      <x:c r="AB159" s="69"/>
      <x:c r="AC159" s="69"/>
    </x:row>
    <x:row r="160">
      <x:c r="A160" s="69"/>
      <x:c r="B160" s="69"/>
      <x:c r="C160" s="69"/>
      <x:c r="D160" s="69"/>
      <x:c r="E160" s="69"/>
      <x:c r="F160" s="69"/>
      <x:c r="G160" s="69"/>
      <x:c r="H160" s="69"/>
      <x:c r="I160" s="69"/>
      <x:c r="J160" s="69"/>
      <x:c r="K160" s="69"/>
      <x:c r="L160" s="69"/>
      <x:c r="M160" s="69"/>
      <x:c r="N160" s="69"/>
      <x:c r="O160" s="69"/>
      <x:c r="P160" s="69"/>
      <x:c r="Q160" s="69"/>
      <x:c r="R160" s="69"/>
      <x:c r="S160" s="69"/>
      <x:c r="T160" s="69"/>
      <x:c r="U160" s="69"/>
      <x:c r="V160" s="69"/>
      <x:c r="W160" s="69"/>
      <x:c r="X160" s="69"/>
      <x:c r="Y160" s="69"/>
      <x:c r="Z160" s="69"/>
      <x:c r="AA160" s="69"/>
      <x:c r="AB160" s="69"/>
      <x:c r="AC160" s="69"/>
    </x:row>
    <x:row r="161">
      <x:c r="A161" s="69"/>
      <x:c r="B161" s="69"/>
      <x:c r="C161" s="69"/>
      <x:c r="D161" s="69"/>
      <x:c r="E161" s="69"/>
      <x:c r="F161" s="69"/>
      <x:c r="G161" s="69"/>
      <x:c r="H161" s="69"/>
      <x:c r="I161" s="69"/>
      <x:c r="J161" s="69"/>
      <x:c r="K161" s="69"/>
      <x:c r="L161" s="69"/>
      <x:c r="M161" s="69"/>
      <x:c r="N161" s="69"/>
      <x:c r="O161" s="69"/>
      <x:c r="P161" s="69"/>
      <x:c r="Q161" s="69"/>
      <x:c r="R161" s="69"/>
      <x:c r="S161" s="69"/>
      <x:c r="T161" s="69"/>
      <x:c r="U161" s="69"/>
      <x:c r="V161" s="69"/>
      <x:c r="W161" s="69"/>
      <x:c r="X161" s="69"/>
      <x:c r="Y161" s="69"/>
      <x:c r="Z161" s="69"/>
      <x:c r="AA161" s="69"/>
      <x:c r="AB161" s="69"/>
      <x:c r="AC161" s="69"/>
    </x:row>
    <x:row r="162">
      <x:c r="A162" s="69"/>
      <x:c r="B162" s="69"/>
      <x:c r="C162" s="69"/>
      <x:c r="D162" s="69"/>
      <x:c r="E162" s="69"/>
      <x:c r="F162" s="69"/>
      <x:c r="G162" s="69"/>
      <x:c r="H162" s="69"/>
      <x:c r="I162" s="69"/>
      <x:c r="J162" s="69"/>
      <x:c r="K162" s="69"/>
      <x:c r="L162" s="69"/>
      <x:c r="M162" s="69"/>
      <x:c r="N162" s="69"/>
      <x:c r="O162" s="69"/>
      <x:c r="P162" s="69"/>
      <x:c r="Q162" s="69"/>
      <x:c r="R162" s="69"/>
      <x:c r="S162" s="69"/>
      <x:c r="T162" s="69"/>
      <x:c r="U162" s="69"/>
      <x:c r="V162" s="69"/>
      <x:c r="W162" s="69"/>
      <x:c r="X162" s="69"/>
      <x:c r="Y162" s="69"/>
      <x:c r="Z162" s="69"/>
      <x:c r="AA162" s="69"/>
      <x:c r="AB162" s="69"/>
      <x:c r="AC162" s="69"/>
    </x:row>
    <x:row r="163">
      <x:c r="A163" s="69"/>
      <x:c r="B163" s="69"/>
      <x:c r="C163" s="69"/>
      <x:c r="D163" s="69"/>
      <x:c r="E163" s="69"/>
      <x:c r="F163" s="69"/>
      <x:c r="G163" s="69"/>
      <x:c r="H163" s="69"/>
      <x:c r="I163" s="69"/>
      <x:c r="J163" s="69"/>
      <x:c r="K163" s="69"/>
      <x:c r="L163" s="69"/>
      <x:c r="M163" s="69"/>
      <x:c r="N163" s="69"/>
      <x:c r="O163" s="69"/>
      <x:c r="P163" s="69"/>
      <x:c r="Q163" s="69"/>
      <x:c r="R163" s="69"/>
      <x:c r="S163" s="69"/>
      <x:c r="T163" s="69"/>
      <x:c r="U163" s="69"/>
      <x:c r="V163" s="69"/>
      <x:c r="W163" s="69"/>
      <x:c r="X163" s="69"/>
      <x:c r="Y163" s="69"/>
      <x:c r="Z163" s="69"/>
      <x:c r="AA163" s="69"/>
      <x:c r="AB163" s="69"/>
      <x:c r="AC163" s="69"/>
    </x:row>
    <x:row r="164">
      <x:c r="A164" s="69"/>
      <x:c r="B164" s="69"/>
      <x:c r="C164" s="69"/>
      <x:c r="D164" s="69"/>
      <x:c r="E164" s="69"/>
      <x:c r="F164" s="69"/>
      <x:c r="G164" s="69"/>
      <x:c r="H164" s="69"/>
      <x:c r="I164" s="69"/>
      <x:c r="J164" s="69"/>
      <x:c r="K164" s="69"/>
      <x:c r="L164" s="69"/>
      <x:c r="M164" s="69"/>
      <x:c r="N164" s="69"/>
      <x:c r="O164" s="69"/>
      <x:c r="P164" s="69"/>
      <x:c r="Q164" s="69"/>
      <x:c r="R164" s="69"/>
      <x:c r="S164" s="69"/>
      <x:c r="T164" s="69"/>
      <x:c r="U164" s="69"/>
      <x:c r="V164" s="69"/>
      <x:c r="W164" s="69"/>
      <x:c r="X164" s="69"/>
      <x:c r="Y164" s="69"/>
      <x:c r="Z164" s="69"/>
      <x:c r="AA164" s="69"/>
      <x:c r="AB164" s="69"/>
      <x:c r="AC164" s="69"/>
    </x:row>
    <x:row r="165">
      <x:c r="A165" s="69"/>
      <x:c r="B165" s="69"/>
      <x:c r="C165" s="69"/>
      <x:c r="D165" s="69"/>
      <x:c r="E165" s="69"/>
      <x:c r="F165" s="69"/>
      <x:c r="G165" s="69"/>
      <x:c r="H165" s="69"/>
      <x:c r="I165" s="69"/>
      <x:c r="J165" s="69"/>
      <x:c r="K165" s="69"/>
      <x:c r="L165" s="69"/>
      <x:c r="M165" s="69"/>
      <x:c r="N165" s="69"/>
      <x:c r="O165" s="69"/>
      <x:c r="P165" s="69"/>
      <x:c r="Q165" s="69"/>
      <x:c r="R165" s="69"/>
      <x:c r="S165" s="69"/>
      <x:c r="T165" s="69"/>
      <x:c r="U165" s="69"/>
      <x:c r="V165" s="69"/>
      <x:c r="W165" s="69"/>
      <x:c r="X165" s="69"/>
      <x:c r="Y165" s="69"/>
      <x:c r="Z165" s="69"/>
      <x:c r="AA165" s="69"/>
      <x:c r="AB165" s="69"/>
      <x:c r="AC165" s="69"/>
    </x:row>
    <x:row r="166">
      <x:c r="A166" s="69"/>
      <x:c r="B166" s="69"/>
      <x:c r="C166" s="69"/>
      <x:c r="D166" s="69"/>
      <x:c r="E166" s="69"/>
      <x:c r="F166" s="69"/>
      <x:c r="G166" s="69"/>
      <x:c r="H166" s="69"/>
      <x:c r="I166" s="69"/>
      <x:c r="J166" s="69"/>
      <x:c r="K166" s="69"/>
      <x:c r="L166" s="69"/>
      <x:c r="M166" s="69"/>
      <x:c r="N166" s="69"/>
      <x:c r="O166" s="69"/>
      <x:c r="P166" s="69"/>
      <x:c r="Q166" s="69"/>
      <x:c r="R166" s="69"/>
      <x:c r="S166" s="69"/>
      <x:c r="T166" s="69"/>
      <x:c r="U166" s="69"/>
      <x:c r="V166" s="69"/>
      <x:c r="W166" s="69"/>
      <x:c r="X166" s="69"/>
      <x:c r="Y166" s="69"/>
      <x:c r="Z166" s="69"/>
      <x:c r="AA166" s="69"/>
      <x:c r="AB166" s="69"/>
      <x:c r="AC166" s="69"/>
    </x:row>
    <x:row r="167">
      <x:c r="A167" s="69"/>
      <x:c r="B167" s="69"/>
      <x:c r="C167" s="69"/>
      <x:c r="D167" s="69"/>
      <x:c r="E167" s="69"/>
      <x:c r="F167" s="69"/>
      <x:c r="G167" s="69"/>
      <x:c r="H167" s="69"/>
      <x:c r="I167" s="69"/>
      <x:c r="J167" s="69"/>
      <x:c r="K167" s="69"/>
      <x:c r="L167" s="69"/>
      <x:c r="M167" s="69"/>
      <x:c r="N167" s="69"/>
      <x:c r="O167" s="69"/>
      <x:c r="P167" s="69"/>
      <x:c r="Q167" s="69"/>
      <x:c r="R167" s="69"/>
      <x:c r="S167" s="69"/>
      <x:c r="T167" s="69"/>
      <x:c r="U167" s="69"/>
      <x:c r="V167" s="69"/>
      <x:c r="W167" s="69"/>
      <x:c r="X167" s="69"/>
      <x:c r="Y167" s="69"/>
      <x:c r="Z167" s="69"/>
      <x:c r="AA167" s="69"/>
      <x:c r="AB167" s="69"/>
      <x:c r="AC167" s="69"/>
    </x:row>
    <x:row r="168">
      <x:c r="A168" s="69"/>
      <x:c r="B168" s="69"/>
      <x:c r="C168" s="69"/>
      <x:c r="D168" s="69"/>
      <x:c r="E168" s="69"/>
      <x:c r="F168" s="69"/>
      <x:c r="G168" s="69"/>
      <x:c r="H168" s="69"/>
      <x:c r="I168" s="69"/>
      <x:c r="J168" s="69"/>
      <x:c r="K168" s="69"/>
      <x:c r="L168" s="69"/>
      <x:c r="M168" s="69"/>
      <x:c r="N168" s="69"/>
      <x:c r="O168" s="69"/>
      <x:c r="P168" s="69"/>
      <x:c r="Q168" s="69"/>
      <x:c r="R168" s="69"/>
      <x:c r="S168" s="69"/>
      <x:c r="T168" s="69"/>
      <x:c r="U168" s="69"/>
      <x:c r="V168" s="69"/>
      <x:c r="W168" s="69"/>
      <x:c r="X168" s="69"/>
      <x:c r="Y168" s="69"/>
      <x:c r="Z168" s="69"/>
      <x:c r="AA168" s="69"/>
      <x:c r="AB168" s="69"/>
      <x:c r="AC168" s="69"/>
    </x:row>
    <x:row r="169">
      <x:c r="A169" s="69"/>
      <x:c r="B169" s="69"/>
      <x:c r="C169" s="69"/>
      <x:c r="D169" s="69"/>
      <x:c r="E169" s="69"/>
      <x:c r="F169" s="69"/>
      <x:c r="G169" s="69"/>
      <x:c r="H169" s="69"/>
      <x:c r="I169" s="69"/>
      <x:c r="J169" s="69"/>
      <x:c r="K169" s="69"/>
      <x:c r="L169" s="69"/>
      <x:c r="M169" s="69"/>
      <x:c r="N169" s="69"/>
      <x:c r="O169" s="69"/>
      <x:c r="P169" s="69"/>
      <x:c r="Q169" s="69"/>
      <x:c r="R169" s="69"/>
      <x:c r="S169" s="69"/>
      <x:c r="T169" s="69"/>
      <x:c r="U169" s="69"/>
      <x:c r="V169" s="69"/>
      <x:c r="W169" s="69"/>
      <x:c r="X169" s="69"/>
      <x:c r="Y169" s="69"/>
      <x:c r="Z169" s="69"/>
      <x:c r="AA169" s="69"/>
      <x:c r="AB169" s="69"/>
      <x:c r="AC169" s="69"/>
    </x:row>
    <x:row r="170">
      <x:c r="A170" s="69"/>
      <x:c r="B170" s="69"/>
      <x:c r="C170" s="69"/>
      <x:c r="D170" s="69"/>
      <x:c r="E170" s="69"/>
      <x:c r="F170" s="69"/>
      <x:c r="G170" s="69"/>
      <x:c r="H170" s="69"/>
      <x:c r="I170" s="69"/>
      <x:c r="J170" s="69"/>
      <x:c r="K170" s="69"/>
      <x:c r="L170" s="69"/>
      <x:c r="M170" s="69"/>
      <x:c r="N170" s="69"/>
      <x:c r="O170" s="69"/>
      <x:c r="P170" s="69"/>
      <x:c r="Q170" s="69"/>
      <x:c r="R170" s="69"/>
      <x:c r="S170" s="69"/>
      <x:c r="T170" s="69"/>
      <x:c r="U170" s="69"/>
      <x:c r="V170" s="69"/>
      <x:c r="W170" s="69"/>
      <x:c r="X170" s="69"/>
      <x:c r="Y170" s="69"/>
      <x:c r="Z170" s="69"/>
      <x:c r="AA170" s="69"/>
      <x:c r="AB170" s="69"/>
      <x:c r="AC170" s="69"/>
    </x:row>
    <x:row r="171">
      <x:c r="A171" s="69"/>
      <x:c r="B171" s="69"/>
      <x:c r="C171" s="69"/>
      <x:c r="D171" s="69"/>
      <x:c r="E171" s="69"/>
      <x:c r="F171" s="69"/>
      <x:c r="G171" s="69"/>
      <x:c r="H171" s="69"/>
      <x:c r="I171" s="69"/>
      <x:c r="J171" s="69"/>
      <x:c r="K171" s="69"/>
      <x:c r="L171" s="69"/>
      <x:c r="M171" s="69"/>
      <x:c r="N171" s="69"/>
      <x:c r="O171" s="69"/>
      <x:c r="P171" s="69"/>
      <x:c r="Q171" s="69"/>
      <x:c r="R171" s="69"/>
      <x:c r="S171" s="69"/>
      <x:c r="T171" s="69"/>
      <x:c r="U171" s="69"/>
      <x:c r="V171" s="69"/>
      <x:c r="W171" s="69"/>
      <x:c r="X171" s="69"/>
      <x:c r="Y171" s="69"/>
      <x:c r="Z171" s="69"/>
      <x:c r="AA171" s="69"/>
      <x:c r="AB171" s="69"/>
      <x:c r="AC171" s="69"/>
    </x:row>
    <x:row r="172">
      <x:c r="A172" s="69"/>
      <x:c r="B172" s="69"/>
      <x:c r="C172" s="69"/>
      <x:c r="D172" s="69"/>
      <x:c r="E172" s="69"/>
      <x:c r="F172" s="69"/>
      <x:c r="G172" s="69"/>
      <x:c r="H172" s="69"/>
      <x:c r="I172" s="69"/>
      <x:c r="J172" s="69"/>
      <x:c r="K172" s="69"/>
      <x:c r="L172" s="69"/>
      <x:c r="M172" s="69"/>
      <x:c r="N172" s="69"/>
      <x:c r="O172" s="69"/>
      <x:c r="P172" s="69"/>
      <x:c r="Q172" s="69"/>
      <x:c r="R172" s="69"/>
      <x:c r="S172" s="69"/>
      <x:c r="T172" s="69"/>
      <x:c r="U172" s="69"/>
      <x:c r="V172" s="69"/>
      <x:c r="W172" s="69"/>
      <x:c r="X172" s="69"/>
      <x:c r="Y172" s="69"/>
      <x:c r="Z172" s="69"/>
      <x:c r="AA172" s="69"/>
      <x:c r="AB172" s="69"/>
      <x:c r="AC172" s="69"/>
    </x:row>
    <x:row r="173">
      <x:c r="A173" s="69"/>
      <x:c r="B173" s="69"/>
      <x:c r="C173" s="69"/>
      <x:c r="D173" s="69"/>
      <x:c r="E173" s="69"/>
      <x:c r="F173" s="69"/>
      <x:c r="G173" s="69"/>
      <x:c r="H173" s="69"/>
      <x:c r="I173" s="69"/>
      <x:c r="J173" s="69"/>
      <x:c r="K173" s="69"/>
      <x:c r="L173" s="69"/>
      <x:c r="M173" s="69"/>
      <x:c r="N173" s="69"/>
      <x:c r="O173" s="69"/>
      <x:c r="P173" s="69"/>
      <x:c r="Q173" s="69"/>
      <x:c r="R173" s="69"/>
      <x:c r="S173" s="69"/>
      <x:c r="T173" s="69"/>
      <x:c r="U173" s="69"/>
      <x:c r="V173" s="69"/>
      <x:c r="W173" s="69"/>
      <x:c r="X173" s="69"/>
      <x:c r="Y173" s="69"/>
      <x:c r="Z173" s="69"/>
      <x:c r="AA173" s="69"/>
      <x:c r="AB173" s="69"/>
      <x:c r="AC173" s="69"/>
    </x:row>
    <x:row r="174">
      <x:c r="A174" s="69"/>
      <x:c r="B174" s="69"/>
      <x:c r="C174" s="69"/>
      <x:c r="D174" s="69"/>
      <x:c r="E174" s="69"/>
      <x:c r="F174" s="69"/>
      <x:c r="G174" s="69"/>
      <x:c r="H174" s="69"/>
      <x:c r="I174" s="69"/>
      <x:c r="J174" s="69"/>
      <x:c r="K174" s="69"/>
      <x:c r="L174" s="69"/>
      <x:c r="M174" s="69"/>
      <x:c r="N174" s="69"/>
      <x:c r="O174" s="69"/>
      <x:c r="P174" s="69"/>
      <x:c r="Q174" s="69"/>
      <x:c r="R174" s="69"/>
      <x:c r="S174" s="69"/>
      <x:c r="T174" s="69"/>
      <x:c r="U174" s="69"/>
      <x:c r="V174" s="69"/>
      <x:c r="W174" s="69"/>
      <x:c r="X174" s="69"/>
      <x:c r="Y174" s="69"/>
      <x:c r="Z174" s="69"/>
      <x:c r="AA174" s="69"/>
      <x:c r="AB174" s="69"/>
      <x:c r="AC174" s="69"/>
    </x:row>
    <x:row r="175">
      <x:c r="A175" s="69"/>
      <x:c r="B175" s="69"/>
      <x:c r="C175" s="69"/>
      <x:c r="D175" s="69"/>
      <x:c r="E175" s="69"/>
      <x:c r="F175" s="69"/>
      <x:c r="G175" s="69"/>
      <x:c r="H175" s="69"/>
      <x:c r="I175" s="69"/>
      <x:c r="J175" s="69"/>
      <x:c r="K175" s="69"/>
      <x:c r="L175" s="69"/>
      <x:c r="M175" s="69"/>
      <x:c r="N175" s="69"/>
      <x:c r="O175" s="69"/>
      <x:c r="P175" s="69"/>
      <x:c r="Q175" s="69"/>
      <x:c r="R175" s="69"/>
      <x:c r="S175" s="69"/>
      <x:c r="T175" s="69"/>
      <x:c r="U175" s="69"/>
      <x:c r="V175" s="69"/>
      <x:c r="W175" s="69"/>
      <x:c r="X175" s="69"/>
      <x:c r="Y175" s="69"/>
      <x:c r="Z175" s="69"/>
      <x:c r="AA175" s="69"/>
      <x:c r="AB175" s="69"/>
      <x:c r="AC175" s="69"/>
    </x:row>
    <x:row r="176">
      <x:c r="A176" s="69"/>
      <x:c r="B176" s="69"/>
      <x:c r="C176" s="69"/>
      <x:c r="D176" s="69"/>
      <x:c r="E176" s="69"/>
      <x:c r="F176" s="69"/>
      <x:c r="G176" s="69"/>
      <x:c r="H176" s="69"/>
      <x:c r="I176" s="69"/>
      <x:c r="J176" s="69"/>
      <x:c r="K176" s="69"/>
      <x:c r="L176" s="69"/>
      <x:c r="M176" s="69"/>
      <x:c r="N176" s="69"/>
      <x:c r="O176" s="69"/>
      <x:c r="P176" s="69"/>
      <x:c r="Q176" s="69"/>
      <x:c r="R176" s="69"/>
      <x:c r="S176" s="69"/>
      <x:c r="T176" s="69"/>
      <x:c r="U176" s="69"/>
      <x:c r="V176" s="69"/>
      <x:c r="W176" s="69"/>
      <x:c r="X176" s="69"/>
      <x:c r="Y176" s="69"/>
      <x:c r="Z176" s="69"/>
      <x:c r="AA176" s="69"/>
      <x:c r="AB176" s="69"/>
      <x:c r="AC176" s="69"/>
    </x:row>
    <x:row r="177">
      <x:c r="A177" s="69"/>
      <x:c r="B177" s="69"/>
      <x:c r="C177" s="69"/>
      <x:c r="D177" s="69"/>
      <x:c r="E177" s="69"/>
      <x:c r="F177" s="69"/>
      <x:c r="G177" s="69"/>
      <x:c r="H177" s="69"/>
      <x:c r="I177" s="69"/>
      <x:c r="J177" s="69"/>
      <x:c r="K177" s="69"/>
      <x:c r="L177" s="69"/>
      <x:c r="M177" s="69"/>
      <x:c r="N177" s="69"/>
      <x:c r="O177" s="69"/>
      <x:c r="P177" s="69"/>
      <x:c r="Q177" s="69"/>
      <x:c r="R177" s="69"/>
      <x:c r="S177" s="69"/>
      <x:c r="T177" s="69"/>
      <x:c r="U177" s="69"/>
      <x:c r="V177" s="69"/>
      <x:c r="W177" s="69"/>
      <x:c r="X177" s="69"/>
      <x:c r="Y177" s="69"/>
      <x:c r="Z177" s="69"/>
      <x:c r="AA177" s="69"/>
      <x:c r="AB177" s="69"/>
      <x:c r="AC177" s="69"/>
    </x:row>
    <x:row r="178">
      <x:c r="A178" s="69"/>
      <x:c r="B178" s="69"/>
      <x:c r="C178" s="69"/>
      <x:c r="D178" s="69"/>
      <x:c r="E178" s="69"/>
      <x:c r="F178" s="69"/>
      <x:c r="G178" s="69"/>
      <x:c r="H178" s="69"/>
      <x:c r="I178" s="69"/>
      <x:c r="J178" s="69"/>
      <x:c r="K178" s="69"/>
      <x:c r="L178" s="69"/>
      <x:c r="M178" s="69"/>
      <x:c r="N178" s="69"/>
      <x:c r="O178" s="69"/>
      <x:c r="P178" s="69"/>
      <x:c r="Q178" s="69"/>
      <x:c r="R178" s="69"/>
      <x:c r="S178" s="69"/>
      <x:c r="T178" s="69"/>
      <x:c r="U178" s="69"/>
      <x:c r="V178" s="69"/>
      <x:c r="W178" s="69"/>
      <x:c r="X178" s="69"/>
      <x:c r="Y178" s="69"/>
      <x:c r="Z178" s="69"/>
      <x:c r="AA178" s="69"/>
      <x:c r="AB178" s="69"/>
      <x:c r="AC178" s="69"/>
    </x:row>
    <x:row r="179">
      <x:c r="A179" s="69"/>
      <x:c r="B179" s="69"/>
      <x:c r="C179" s="69"/>
      <x:c r="D179" s="69"/>
      <x:c r="E179" s="69"/>
      <x:c r="F179" s="69"/>
      <x:c r="G179" s="69"/>
      <x:c r="H179" s="69"/>
      <x:c r="I179" s="69"/>
      <x:c r="J179" s="69"/>
      <x:c r="K179" s="69"/>
      <x:c r="L179" s="69"/>
      <x:c r="M179" s="69"/>
      <x:c r="N179" s="69"/>
      <x:c r="O179" s="69"/>
      <x:c r="P179" s="69"/>
      <x:c r="Q179" s="69"/>
      <x:c r="R179" s="69"/>
      <x:c r="S179" s="69"/>
      <x:c r="T179" s="69"/>
      <x:c r="U179" s="69"/>
      <x:c r="V179" s="69"/>
      <x:c r="W179" s="69"/>
      <x:c r="X179" s="69"/>
      <x:c r="Y179" s="69"/>
      <x:c r="Z179" s="69"/>
      <x:c r="AA179" s="69"/>
      <x:c r="AB179" s="69"/>
      <x:c r="AC179" s="69"/>
    </x:row>
    <x:row r="180">
      <x:c r="A180" s="69"/>
      <x:c r="B180" s="69"/>
      <x:c r="C180" s="69"/>
      <x:c r="D180" s="69"/>
      <x:c r="E180" s="69"/>
      <x:c r="F180" s="69"/>
      <x:c r="G180" s="69"/>
      <x:c r="H180" s="69"/>
      <x:c r="I180" s="69"/>
      <x:c r="J180" s="69"/>
      <x:c r="K180" s="69"/>
      <x:c r="L180" s="69"/>
      <x:c r="M180" s="69"/>
      <x:c r="N180" s="69"/>
      <x:c r="O180" s="69"/>
      <x:c r="P180" s="69"/>
      <x:c r="Q180" s="69"/>
      <x:c r="R180" s="69"/>
      <x:c r="S180" s="69"/>
      <x:c r="T180" s="69"/>
      <x:c r="U180" s="69"/>
      <x:c r="V180" s="69"/>
      <x:c r="W180" s="69"/>
      <x:c r="X180" s="69"/>
      <x:c r="Y180" s="69"/>
      <x:c r="Z180" s="69"/>
      <x:c r="AA180" s="69"/>
      <x:c r="AB180" s="69"/>
      <x:c r="AC180" s="69"/>
    </x:row>
    <x:row r="181">
      <x:c r="A181" s="69"/>
      <x:c r="B181" s="69"/>
      <x:c r="C181" s="69"/>
      <x:c r="D181" s="69"/>
      <x:c r="E181" s="69"/>
      <x:c r="F181" s="69"/>
      <x:c r="G181" s="69"/>
      <x:c r="H181" s="69"/>
      <x:c r="I181" s="69"/>
      <x:c r="J181" s="69"/>
      <x:c r="K181" s="69"/>
      <x:c r="L181" s="69"/>
      <x:c r="M181" s="69"/>
      <x:c r="N181" s="69"/>
      <x:c r="O181" s="69"/>
      <x:c r="P181" s="69"/>
      <x:c r="Q181" s="69"/>
      <x:c r="R181" s="69"/>
      <x:c r="S181" s="69"/>
      <x:c r="T181" s="69"/>
      <x:c r="U181" s="69"/>
      <x:c r="V181" s="69"/>
      <x:c r="W181" s="69"/>
      <x:c r="X181" s="69"/>
      <x:c r="Y181" s="69"/>
      <x:c r="Z181" s="69"/>
      <x:c r="AA181" s="69"/>
      <x:c r="AB181" s="69"/>
      <x:c r="AC181" s="69"/>
    </x:row>
    <x:row r="182">
      <x:c r="A182" s="69"/>
      <x:c r="B182" s="69"/>
      <x:c r="C182" s="69"/>
      <x:c r="D182" s="69"/>
      <x:c r="E182" s="69"/>
      <x:c r="F182" s="69"/>
      <x:c r="G182" s="69"/>
      <x:c r="H182" s="69"/>
      <x:c r="I182" s="69"/>
      <x:c r="J182" s="69"/>
      <x:c r="K182" s="69"/>
      <x:c r="L182" s="69"/>
      <x:c r="M182" s="69"/>
      <x:c r="N182" s="69"/>
      <x:c r="O182" s="69"/>
      <x:c r="P182" s="69"/>
      <x:c r="Q182" s="69"/>
      <x:c r="R182" s="69"/>
      <x:c r="S182" s="69"/>
      <x:c r="T182" s="69"/>
      <x:c r="U182" s="69"/>
      <x:c r="V182" s="69"/>
      <x:c r="W182" s="69"/>
      <x:c r="X182" s="69"/>
      <x:c r="Y182" s="69"/>
      <x:c r="Z182" s="69"/>
      <x:c r="AA182" s="69"/>
      <x:c r="AB182" s="69"/>
      <x:c r="AC182" s="69"/>
    </x:row>
    <x:row r="183">
      <x:c r="A183" s="69"/>
      <x:c r="B183" s="69"/>
      <x:c r="C183" s="69"/>
      <x:c r="D183" s="69"/>
      <x:c r="E183" s="69"/>
      <x:c r="F183" s="69"/>
      <x:c r="G183" s="69"/>
      <x:c r="H183" s="69"/>
      <x:c r="I183" s="69"/>
      <x:c r="J183" s="69"/>
      <x:c r="K183" s="69"/>
      <x:c r="L183" s="69"/>
      <x:c r="M183" s="69"/>
      <x:c r="N183" s="69"/>
      <x:c r="O183" s="69"/>
      <x:c r="P183" s="69"/>
      <x:c r="Q183" s="69"/>
      <x:c r="R183" s="69"/>
      <x:c r="S183" s="69"/>
      <x:c r="T183" s="69"/>
      <x:c r="U183" s="69"/>
      <x:c r="V183" s="69"/>
      <x:c r="W183" s="69"/>
      <x:c r="X183" s="69"/>
      <x:c r="Y183" s="69"/>
      <x:c r="Z183" s="69"/>
      <x:c r="AA183" s="69"/>
      <x:c r="AB183" s="69"/>
      <x:c r="AC183" s="69"/>
    </x:row>
    <x:row r="184">
      <x:c r="A184" s="69"/>
      <x:c r="B184" s="69"/>
      <x:c r="C184" s="69"/>
      <x:c r="D184" s="69"/>
      <x:c r="E184" s="69"/>
      <x:c r="F184" s="69"/>
      <x:c r="G184" s="69"/>
      <x:c r="H184" s="69"/>
      <x:c r="I184" s="69"/>
      <x:c r="J184" s="69"/>
      <x:c r="K184" s="69"/>
      <x:c r="L184" s="69"/>
      <x:c r="M184" s="69"/>
      <x:c r="N184" s="69"/>
      <x:c r="O184" s="69"/>
      <x:c r="P184" s="69"/>
      <x:c r="Q184" s="69"/>
      <x:c r="R184" s="69"/>
      <x:c r="S184" s="69"/>
      <x:c r="T184" s="69"/>
      <x:c r="U184" s="69"/>
      <x:c r="V184" s="69"/>
      <x:c r="W184" s="69"/>
      <x:c r="X184" s="69"/>
      <x:c r="Y184" s="69"/>
      <x:c r="Z184" s="69"/>
      <x:c r="AA184" s="69"/>
      <x:c r="AB184" s="69"/>
      <x:c r="AC184" s="69"/>
    </x:row>
    <x:row r="185">
      <x:c r="A185" s="69"/>
      <x:c r="B185" s="69"/>
      <x:c r="C185" s="69"/>
      <x:c r="D185" s="69"/>
      <x:c r="E185" s="69"/>
      <x:c r="F185" s="69"/>
      <x:c r="G185" s="69"/>
      <x:c r="H185" s="69"/>
      <x:c r="I185" s="69"/>
      <x:c r="J185" s="69"/>
      <x:c r="K185" s="69"/>
      <x:c r="L185" s="69"/>
      <x:c r="M185" s="69"/>
      <x:c r="N185" s="69"/>
      <x:c r="O185" s="69"/>
      <x:c r="P185" s="69"/>
      <x:c r="Q185" s="69"/>
      <x:c r="R185" s="69"/>
      <x:c r="S185" s="69"/>
      <x:c r="T185" s="69"/>
      <x:c r="U185" s="69"/>
      <x:c r="V185" s="69"/>
      <x:c r="W185" s="69"/>
      <x:c r="X185" s="69"/>
      <x:c r="Y185" s="69"/>
      <x:c r="Z185" s="69"/>
      <x:c r="AA185" s="69"/>
      <x:c r="AB185" s="69"/>
      <x:c r="AC185" s="69"/>
    </x:row>
    <x:row r="186">
      <x:c r="A186" s="69"/>
      <x:c r="B186" s="69"/>
      <x:c r="C186" s="69"/>
      <x:c r="D186" s="69"/>
      <x:c r="E186" s="69"/>
      <x:c r="F186" s="69"/>
      <x:c r="G186" s="69"/>
      <x:c r="H186" s="69"/>
      <x:c r="I186" s="69"/>
      <x:c r="J186" s="69"/>
      <x:c r="K186" s="69"/>
      <x:c r="L186" s="69"/>
      <x:c r="M186" s="69"/>
      <x:c r="N186" s="69"/>
      <x:c r="O186" s="69"/>
      <x:c r="P186" s="69"/>
      <x:c r="Q186" s="69"/>
      <x:c r="R186" s="69"/>
      <x:c r="S186" s="69"/>
      <x:c r="T186" s="69"/>
      <x:c r="U186" s="69"/>
      <x:c r="V186" s="69"/>
      <x:c r="W186" s="69"/>
      <x:c r="X186" s="69"/>
      <x:c r="Y186" s="69"/>
      <x:c r="Z186" s="69"/>
      <x:c r="AA186" s="69"/>
      <x:c r="AB186" s="69"/>
      <x:c r="AC186" s="69"/>
    </x:row>
    <x:row r="187">
      <x:c r="A187" s="69"/>
      <x:c r="B187" s="69"/>
      <x:c r="C187" s="69"/>
      <x:c r="D187" s="69"/>
      <x:c r="E187" s="69"/>
      <x:c r="F187" s="69"/>
      <x:c r="G187" s="69"/>
      <x:c r="H187" s="69"/>
      <x:c r="I187" s="69"/>
      <x:c r="J187" s="69"/>
      <x:c r="K187" s="69"/>
      <x:c r="L187" s="69"/>
      <x:c r="M187" s="69"/>
      <x:c r="N187" s="69"/>
      <x:c r="O187" s="69"/>
      <x:c r="P187" s="69"/>
      <x:c r="Q187" s="69"/>
      <x:c r="R187" s="69"/>
      <x:c r="S187" s="69"/>
      <x:c r="T187" s="69"/>
      <x:c r="U187" s="69"/>
      <x:c r="V187" s="69"/>
      <x:c r="W187" s="69"/>
      <x:c r="X187" s="69"/>
      <x:c r="Y187" s="69"/>
      <x:c r="Z187" s="69"/>
      <x:c r="AA187" s="69"/>
      <x:c r="AB187" s="69"/>
      <x:c r="AC187" s="69"/>
    </x:row>
    <x:row r="188">
      <x:c r="A188" s="69"/>
      <x:c r="B188" s="69"/>
      <x:c r="C188" s="69"/>
      <x:c r="D188" s="69"/>
      <x:c r="E188" s="69"/>
      <x:c r="F188" s="69"/>
      <x:c r="G188" s="69"/>
      <x:c r="H188" s="69"/>
      <x:c r="I188" s="69"/>
      <x:c r="J188" s="69"/>
      <x:c r="K188" s="69"/>
      <x:c r="L188" s="69"/>
      <x:c r="M188" s="69"/>
      <x:c r="N188" s="69"/>
      <x:c r="O188" s="69"/>
      <x:c r="P188" s="69"/>
      <x:c r="Q188" s="69"/>
      <x:c r="R188" s="69"/>
      <x:c r="S188" s="69"/>
      <x:c r="T188" s="69"/>
      <x:c r="U188" s="69"/>
      <x:c r="V188" s="69"/>
      <x:c r="W188" s="69"/>
      <x:c r="X188" s="69"/>
      <x:c r="Y188" s="69"/>
      <x:c r="Z188" s="69"/>
      <x:c r="AA188" s="69"/>
      <x:c r="AB188" s="69"/>
      <x:c r="AC188" s="69"/>
    </x:row>
    <x:row r="189">
      <x:c r="A189" s="69"/>
      <x:c r="B189" s="69"/>
      <x:c r="C189" s="69"/>
      <x:c r="D189" s="69"/>
      <x:c r="E189" s="69"/>
      <x:c r="F189" s="69"/>
      <x:c r="G189" s="69"/>
      <x:c r="H189" s="69"/>
      <x:c r="I189" s="69"/>
      <x:c r="J189" s="69"/>
      <x:c r="K189" s="69"/>
      <x:c r="L189" s="69"/>
      <x:c r="M189" s="69"/>
      <x:c r="N189" s="69"/>
      <x:c r="O189" s="69"/>
      <x:c r="P189" s="69"/>
      <x:c r="Q189" s="69"/>
      <x:c r="R189" s="69"/>
      <x:c r="S189" s="69"/>
      <x:c r="T189" s="69"/>
      <x:c r="U189" s="69"/>
      <x:c r="V189" s="69"/>
      <x:c r="W189" s="69"/>
      <x:c r="X189" s="69"/>
      <x:c r="Y189" s="69"/>
      <x:c r="Z189" s="69"/>
      <x:c r="AA189" s="69"/>
      <x:c r="AB189" s="69"/>
      <x:c r="AC189" s="69"/>
    </x:row>
    <x:row r="190">
      <x:c r="A190" s="69"/>
      <x:c r="B190" s="69"/>
      <x:c r="C190" s="69"/>
      <x:c r="D190" s="69"/>
      <x:c r="E190" s="69"/>
      <x:c r="F190" s="69"/>
      <x:c r="G190" s="69"/>
      <x:c r="H190" s="69"/>
      <x:c r="I190" s="69"/>
      <x:c r="J190" s="69"/>
      <x:c r="K190" s="69"/>
      <x:c r="L190" s="69"/>
      <x:c r="M190" s="69"/>
      <x:c r="N190" s="69"/>
      <x:c r="O190" s="69"/>
      <x:c r="P190" s="69"/>
      <x:c r="Q190" s="69"/>
      <x:c r="R190" s="69"/>
      <x:c r="S190" s="69"/>
      <x:c r="T190" s="69"/>
      <x:c r="U190" s="69"/>
      <x:c r="V190" s="69"/>
      <x:c r="W190" s="69"/>
      <x:c r="X190" s="69"/>
      <x:c r="Y190" s="69"/>
      <x:c r="Z190" s="69"/>
      <x:c r="AA190" s="69"/>
      <x:c r="AB190" s="69"/>
      <x:c r="AC190" s="69"/>
    </x:row>
    <x:row r="191">
      <x:c r="A191" s="69"/>
      <x:c r="B191" s="69"/>
      <x:c r="C191" s="69"/>
      <x:c r="D191" s="69"/>
      <x:c r="E191" s="69"/>
      <x:c r="F191" s="69"/>
      <x:c r="G191" s="69"/>
      <x:c r="H191" s="69"/>
      <x:c r="I191" s="69"/>
      <x:c r="J191" s="69"/>
      <x:c r="K191" s="69"/>
      <x:c r="L191" s="69"/>
      <x:c r="M191" s="69"/>
      <x:c r="N191" s="69"/>
      <x:c r="O191" s="69"/>
      <x:c r="P191" s="69"/>
      <x:c r="Q191" s="69"/>
      <x:c r="R191" s="69"/>
      <x:c r="S191" s="69"/>
      <x:c r="T191" s="69"/>
      <x:c r="U191" s="69"/>
      <x:c r="V191" s="69"/>
      <x:c r="W191" s="69"/>
      <x:c r="X191" s="69"/>
      <x:c r="Y191" s="69"/>
      <x:c r="Z191" s="69"/>
      <x:c r="AA191" s="69"/>
      <x:c r="AB191" s="69"/>
      <x:c r="AC191" s="69"/>
    </x:row>
    <x:row r="192">
      <x:c r="A192" s="69"/>
      <x:c r="B192" s="69"/>
      <x:c r="C192" s="69"/>
      <x:c r="D192" s="69"/>
      <x:c r="E192" s="69"/>
      <x:c r="F192" s="69"/>
      <x:c r="G192" s="69"/>
      <x:c r="H192" s="69"/>
      <x:c r="I192" s="69"/>
      <x:c r="J192" s="69"/>
      <x:c r="K192" s="69"/>
      <x:c r="L192" s="69"/>
      <x:c r="M192" s="69"/>
      <x:c r="N192" s="69"/>
      <x:c r="O192" s="69"/>
      <x:c r="P192" s="69"/>
      <x:c r="Q192" s="69"/>
      <x:c r="R192" s="69"/>
      <x:c r="S192" s="69"/>
      <x:c r="T192" s="69"/>
      <x:c r="U192" s="69"/>
      <x:c r="V192" s="69"/>
      <x:c r="W192" s="69"/>
      <x:c r="X192" s="69"/>
      <x:c r="Y192" s="69"/>
      <x:c r="Z192" s="69"/>
      <x:c r="AA192" s="69"/>
      <x:c r="AB192" s="69"/>
      <x:c r="AC192" s="69"/>
    </x:row>
    <x:row r="193">
      <x:c r="A193" s="69"/>
      <x:c r="B193" s="69"/>
      <x:c r="C193" s="69"/>
      <x:c r="D193" s="69"/>
      <x:c r="E193" s="69"/>
      <x:c r="F193" s="69"/>
      <x:c r="G193" s="69"/>
      <x:c r="H193" s="69"/>
      <x:c r="I193" s="69"/>
      <x:c r="J193" s="69"/>
      <x:c r="K193" s="69"/>
      <x:c r="L193" s="69"/>
      <x:c r="M193" s="69"/>
      <x:c r="N193" s="69"/>
      <x:c r="O193" s="69"/>
      <x:c r="P193" s="69"/>
      <x:c r="Q193" s="69"/>
      <x:c r="R193" s="69"/>
      <x:c r="S193" s="69"/>
      <x:c r="T193" s="69"/>
      <x:c r="U193" s="69"/>
      <x:c r="V193" s="69"/>
      <x:c r="W193" s="69"/>
      <x:c r="X193" s="69"/>
      <x:c r="Y193" s="69"/>
      <x:c r="Z193" s="69"/>
      <x:c r="AA193" s="69"/>
      <x:c r="AB193" s="69"/>
      <x:c r="AC193" s="69"/>
    </x:row>
    <x:row r="194">
      <x:c r="A194" s="69"/>
      <x:c r="B194" s="69"/>
      <x:c r="C194" s="69"/>
      <x:c r="D194" s="69"/>
      <x:c r="E194" s="69"/>
      <x:c r="F194" s="69"/>
      <x:c r="G194" s="69"/>
      <x:c r="H194" s="69"/>
      <x:c r="I194" s="69"/>
      <x:c r="J194" s="69"/>
      <x:c r="K194" s="69"/>
      <x:c r="L194" s="69"/>
      <x:c r="M194" s="69"/>
      <x:c r="N194" s="69"/>
      <x:c r="O194" s="69"/>
      <x:c r="P194" s="69"/>
      <x:c r="Q194" s="69"/>
      <x:c r="R194" s="69"/>
      <x:c r="S194" s="69"/>
      <x:c r="T194" s="69"/>
      <x:c r="U194" s="69"/>
      <x:c r="V194" s="69"/>
      <x:c r="W194" s="69"/>
      <x:c r="X194" s="69"/>
      <x:c r="Y194" s="69"/>
      <x:c r="Z194" s="69"/>
      <x:c r="AA194" s="69"/>
      <x:c r="AB194" s="69"/>
      <x:c r="AC194" s="69"/>
    </x:row>
    <x:row r="195">
      <x:c r="A195" s="69"/>
      <x:c r="B195" s="69"/>
      <x:c r="C195" s="69"/>
      <x:c r="D195" s="69"/>
      <x:c r="E195" s="69"/>
      <x:c r="F195" s="69"/>
      <x:c r="G195" s="69"/>
      <x:c r="H195" s="69"/>
      <x:c r="I195" s="69"/>
      <x:c r="J195" s="69"/>
      <x:c r="K195" s="69"/>
      <x:c r="L195" s="69"/>
      <x:c r="M195" s="69"/>
      <x:c r="N195" s="69"/>
      <x:c r="O195" s="69"/>
      <x:c r="P195" s="69"/>
      <x:c r="Q195" s="69"/>
      <x:c r="R195" s="69"/>
      <x:c r="S195" s="69"/>
      <x:c r="T195" s="69"/>
      <x:c r="U195" s="69"/>
      <x:c r="V195" s="69"/>
      <x:c r="W195" s="69"/>
      <x:c r="X195" s="69"/>
      <x:c r="Y195" s="69"/>
      <x:c r="Z195" s="69"/>
      <x:c r="AA195" s="69"/>
      <x:c r="AB195" s="69"/>
      <x:c r="AC195" s="69"/>
    </x:row>
    <x:row r="196">
      <x:c r="A196" s="69"/>
      <x:c r="B196" s="69"/>
      <x:c r="C196" s="69"/>
      <x:c r="D196" s="69"/>
      <x:c r="E196" s="69"/>
      <x:c r="F196" s="69"/>
      <x:c r="G196" s="69"/>
      <x:c r="H196" s="69"/>
      <x:c r="I196" s="69"/>
      <x:c r="J196" s="69"/>
      <x:c r="K196" s="69"/>
      <x:c r="L196" s="69"/>
      <x:c r="M196" s="69"/>
      <x:c r="N196" s="69"/>
      <x:c r="O196" s="69"/>
      <x:c r="P196" s="69"/>
      <x:c r="Q196" s="69"/>
      <x:c r="R196" s="69"/>
      <x:c r="S196" s="69"/>
      <x:c r="T196" s="69"/>
      <x:c r="U196" s="69"/>
      <x:c r="V196" s="69"/>
      <x:c r="W196" s="69"/>
      <x:c r="X196" s="69"/>
      <x:c r="Y196" s="69"/>
      <x:c r="Z196" s="69"/>
      <x:c r="AA196" s="69"/>
      <x:c r="AB196" s="69"/>
      <x:c r="AC196" s="69"/>
    </x:row>
    <x:row r="197">
      <x:c r="A197" s="69"/>
      <x:c r="B197" s="69"/>
      <x:c r="C197" s="69"/>
      <x:c r="D197" s="69"/>
      <x:c r="E197" s="69"/>
      <x:c r="F197" s="69"/>
      <x:c r="G197" s="69"/>
      <x:c r="H197" s="69"/>
      <x:c r="I197" s="69"/>
      <x:c r="J197" s="69"/>
      <x:c r="K197" s="69"/>
      <x:c r="L197" s="69"/>
      <x:c r="M197" s="69"/>
      <x:c r="N197" s="69"/>
      <x:c r="O197" s="69"/>
      <x:c r="P197" s="69"/>
      <x:c r="Q197" s="69"/>
      <x:c r="R197" s="69"/>
      <x:c r="S197" s="69"/>
      <x:c r="T197" s="69"/>
      <x:c r="U197" s="69"/>
      <x:c r="V197" s="69"/>
      <x:c r="W197" s="69"/>
      <x:c r="X197" s="69"/>
      <x:c r="Y197" s="69"/>
      <x:c r="Z197" s="69"/>
      <x:c r="AA197" s="69"/>
      <x:c r="AB197" s="69"/>
      <x:c r="AC197" s="69"/>
    </x:row>
    <x:row r="198">
      <x:c r="A198" s="69"/>
      <x:c r="B198" s="69"/>
      <x:c r="C198" s="69"/>
      <x:c r="D198" s="69"/>
      <x:c r="E198" s="69"/>
      <x:c r="F198" s="69"/>
      <x:c r="G198" s="69"/>
      <x:c r="H198" s="69"/>
      <x:c r="I198" s="69"/>
      <x:c r="J198" s="69"/>
      <x:c r="K198" s="69"/>
      <x:c r="L198" s="69"/>
      <x:c r="M198" s="69"/>
      <x:c r="N198" s="69"/>
      <x:c r="O198" s="69"/>
      <x:c r="P198" s="69"/>
      <x:c r="Q198" s="69"/>
      <x:c r="R198" s="69"/>
      <x:c r="S198" s="69"/>
      <x:c r="T198" s="69"/>
      <x:c r="U198" s="69"/>
      <x:c r="V198" s="69"/>
      <x:c r="W198" s="69"/>
      <x:c r="X198" s="69"/>
      <x:c r="Y198" s="69"/>
      <x:c r="Z198" s="69"/>
      <x:c r="AA198" s="69"/>
      <x:c r="AB198" s="69"/>
      <x:c r="AC198" s="69"/>
    </x:row>
    <x:row r="199">
      <x:c r="A199" s="69"/>
      <x:c r="B199" s="69"/>
      <x:c r="C199" s="69"/>
      <x:c r="D199" s="69"/>
      <x:c r="E199" s="69"/>
      <x:c r="F199" s="69"/>
      <x:c r="G199" s="69"/>
      <x:c r="H199" s="69"/>
      <x:c r="I199" s="69"/>
      <x:c r="J199" s="69"/>
      <x:c r="K199" s="69"/>
      <x:c r="L199" s="69"/>
      <x:c r="M199" s="69"/>
      <x:c r="N199" s="69"/>
      <x:c r="O199" s="69"/>
      <x:c r="P199" s="69"/>
      <x:c r="Q199" s="69"/>
      <x:c r="R199" s="69"/>
      <x:c r="S199" s="69"/>
      <x:c r="T199" s="69"/>
      <x:c r="U199" s="69"/>
      <x:c r="V199" s="69"/>
      <x:c r="W199" s="69"/>
      <x:c r="X199" s="69"/>
      <x:c r="Y199" s="69"/>
      <x:c r="Z199" s="69"/>
      <x:c r="AA199" s="69"/>
      <x:c r="AB199" s="69"/>
      <x:c r="AC199" s="69"/>
    </x:row>
    <x:row r="200">
      <x:c r="A200" s="69"/>
      <x:c r="B200" s="69"/>
      <x:c r="C200" s="69"/>
      <x:c r="D200" s="69"/>
      <x:c r="E200" s="69"/>
      <x:c r="F200" s="69"/>
      <x:c r="G200" s="69"/>
      <x:c r="H200" s="69"/>
      <x:c r="I200" s="69"/>
      <x:c r="J200" s="69"/>
      <x:c r="K200" s="69"/>
      <x:c r="L200" s="69"/>
      <x:c r="M200" s="69"/>
      <x:c r="N200" s="69"/>
      <x:c r="O200" s="69"/>
      <x:c r="P200" s="69"/>
      <x:c r="Q200" s="69"/>
      <x:c r="R200" s="69"/>
      <x:c r="S200" s="69"/>
      <x:c r="T200" s="69"/>
      <x:c r="U200" s="69"/>
      <x:c r="V200" s="69"/>
      <x:c r="W200" s="69"/>
      <x:c r="X200" s="69"/>
      <x:c r="Y200" s="69"/>
      <x:c r="Z200" s="69"/>
      <x:c r="AA200" s="69"/>
      <x:c r="AB200" s="69"/>
      <x:c r="AC200" s="69"/>
    </x:row>
  </x:sheetData>
  <x:mergeCells>
    <x:mergeCell ref="A1:D1"/>
  </x:mergeCells>
  <x:pageMargins left="0.7" right="0.7" top="0.75" bottom="0.75" header="0.3" footer="0.3"/>
  <x:tableParts count="1">
    <x:tablePart xmlns:r="http://schemas.openxmlformats.org/officeDocument/2006/relationships" r:id="R800a46d61f5749d4"/>
  </x:tableParts>
</x:worksheet>
</file>